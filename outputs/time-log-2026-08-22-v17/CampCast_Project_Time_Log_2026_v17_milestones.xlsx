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e16081945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Log" sheetId="1" r:id="R69bcf84e421e4fdd"/>
    <x:sheet xmlns:r="http://schemas.openxmlformats.org/officeDocument/2006/relationships" name="Milestones" sheetId="2" r:id="Rbaf09ccf93ef492d"/>
    <x:sheet xmlns:r="http://schemas.openxmlformats.org/officeDocument/2006/relationships" name="WP Summary" sheetId="3" r:id="Rb1575a6a1f1e4790"/>
    <x:sheet xmlns:r="http://schemas.openxmlformats.org/officeDocument/2006/relationships" name="TÞS Cost Summary" sheetId="4" r:id="R4114ec369c004072"/>
    <x:sheet xmlns:r="http://schemas.openxmlformats.org/officeDocument/2006/relationships" name="Monthly Summary" sheetId="5" r:id="R586e05f56b0446ae"/>
    <x:sheet xmlns:r="http://schemas.openxmlformats.org/officeDocument/2006/relationships" name="Instructions" sheetId="6" r:id="Rab85d94360824d11"/>
    <x:sheet xmlns:r="http://schemas.openxmlformats.org/officeDocument/2006/relationships" name="Lists" sheetId="7" r:id="R6a0b647764a64a9a"/>
    <x:sheet xmlns:r="http://schemas.openxmlformats.org/officeDocument/2006/relationships" name="Dashboard" sheetId="8" r:id="R7806fef7237b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dd\.mm\.yyyy"/>
    <x:numFmt numFmtId="165" formatCode="0.0000"/>
    <x:numFmt numFmtId="166" formatCode="#,##0\ &quot;kr.&quot;"/>
    <x:numFmt numFmtId="167" formatCode="dd.mm.yyyy"/>
    <x:numFmt numFmtId="168" formatCode="0.0"/>
    <x:numFmt numFmtId="169" formatCode="#,##0 &quot;kr.&quot;"/>
    <x:numFmt numFmtId="200" formatCode="0.00"/>
    <x:numFmt numFmtId="201" formatCode="0.000"/>
    <x:numFmt numFmtId="202" formatCode="#,##0"/>
  </x:numFmts>
  <x:fonts count="8">
    <x:font>
      <x:sz val="11"/>
      <x:color theme="1"/>
      <x:name val="Calibri"/>
    </x:font>
    <x:font>
      <x:b/>
      <x:sz val="18"/>
      <x:color rgb="FFFFFFFF"/>
      <x:name val="Calibri"/>
    </x:font>
    <x:font>
      <x:i/>
      <x:sz val="10"/>
      <x:color rgb="FF1F2937"/>
      <x:name val="Calibri"/>
    </x:font>
    <x:font>
      <x:b/>
      <x:sz val="11"/>
      <x:color rgb="FFFFFFFF"/>
      <x:name val="Calibri"/>
    </x:font>
    <x:font>
      <x:b/>
      <x:sz val="11"/>
      <x:color rgb="FF1F2937"/>
      <x:name val="Calibri"/>
    </x:font>
    <x:font>
      <x:i/>
      <x:sz val="11"/>
      <x:color rgb="FF404040"/>
      <x:name val="Calibri"/>
    </x:font>
    <x:font>
      <x:b/>
      <x:sz val="11"/>
      <x:color rgb="FF1F1F1F"/>
      <x:name val="Calibri"/>
    </x:font>
    <x:font>
      <x:b/>
    </x:font>
  </x:fonts>
  <x:fills count="9">
    <x:fill>
      <x:patternFill patternType="none"/>
    </x:fill>
    <x:fill>
      <x:patternFill patternType="gray125"/>
    </x:fill>
    <x:fill>
      <x:patternFill patternType="solid">
        <x:fgColor rgb="FF0F6B4F"/>
      </x:patternFill>
    </x:fill>
    <x:fill>
      <x:patternFill patternType="solid">
        <x:fgColor rgb="FFEAF7F0"/>
      </x:patternFill>
    </x:fill>
    <x:fill>
      <x:patternFill patternType="solid">
        <x:fgColor rgb="FFFAFCFB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2"/>
  </x:cellStyleXfs>
  <x:cellXfs count="161">
    <x:xf numFmtId="0" fontId="0" fillId="0" borderId="0" xfId="0"/>
    <x:xf numFmtId="0" fontId="3" fillId="2" borderId="1" xfId="0" applyAlignment="1">
      <x:alignment vertical="center" wrapText="1"/>
    </x:xf>
    <x:xf numFmtId="0" fontId="0" fillId="4" borderId="1" xfId="0" applyAlignment="1">
      <x:alignment vertical="top" wrapText="1"/>
    </x:xf>
    <x:xf numFmtId="164" fontId="0" fillId="4" borderId="1" xfId="0" applyAlignment="1">
      <x:alignment vertical="top" wrapText="1"/>
    </x:xf>
    <x:xf numFmtId="2" fontId="0" fillId="4" borderId="1" xfId="0" applyAlignment="1">
      <x:alignment vertical="top" wrapText="1"/>
    </x:xf>
    <x:xf numFmtId="165" fontId="0" fillId="4" borderId="1" xfId="0" applyAlignment="1">
      <x:alignment vertical="top" wrapText="1"/>
    </x:xf>
    <x:xf numFmtId="166" fontId="0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0" fontId="0" fillId="0" borderId="1" xfId="0"/>
    <x:xf numFmtId="166" fontId="0" fillId="0" borderId="1" xfId="0"/>
    <x:xf numFmtId="165" fontId="0" fillId="0" borderId="1" xfId="0"/>
    <x:xf numFmtId="0" fontId="4" fillId="5" borderId="1" xfId="0" applyAlignment="1">
      <x:alignment wrapText="1"/>
    </x:xf>
    <x:xf numFmtId="0" fontId="1" fillId="2" borderId="0" xfId="0" applyAlignment="1">
      <x:alignment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0" fillId="5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2" xfId="0"/>
    <x:xf numFmtId="0" fontId="3" fillId="2" borderId="3" xfId="0" applyAlignment="1">
      <x:alignment vertical="center" wrapText="1"/>
    </x:xf>
    <x:xf numFmtId="0" fontId="0" fillId="4" borderId="3" xfId="0" applyAlignment="1">
      <x:alignment vertical="top" wrapText="1"/>
    </x:xf>
    <x:xf numFmtId="164" fontId="0" fillId="4" borderId="3" xfId="0" applyAlignment="1">
      <x:alignment vertical="top" wrapText="1"/>
    </x:xf>
    <x:xf numFmtId="2" fontId="0" fillId="4" borderId="3" xfId="0" applyAlignment="1">
      <x:alignment vertical="top" wrapText="1"/>
    </x:xf>
    <x:xf numFmtId="165" fontId="0" fillId="4" borderId="3" xfId="0" applyAlignment="1">
      <x:alignment vertical="top" wrapText="1"/>
    </x:xf>
    <x:xf numFmtId="166" fontId="0" fillId="4" borderId="3" xfId="0" applyAlignment="1">
      <x:alignment vertical="top"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2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166" fontId="0" fillId="0" borderId="3" xfId="0" applyAlignment="1">
      <x:alignment vertical="top" wrapText="1"/>
    </x:xf>
    <x:xf numFmtId="0" fontId="0" fillId="0" borderId="3" xfId="0"/>
    <x:xf numFmtId="166" fontId="0" fillId="0" borderId="3" xfId="0"/>
    <x:xf numFmtId="165" fontId="0" fillId="0" borderId="3" xfId="0"/>
    <x:xf numFmtId="0" fontId="4" fillId="5" borderId="3" xfId="0" applyAlignment="1">
      <x:alignment wrapText="1"/>
    </x:xf>
    <x:xf numFmtId="0" fontId="1" fillId="2" borderId="2" xfId="0" applyAlignment="1">
      <x:alignment vertical="center"/>
    </x:xf>
    <x:xf numFmtId="0" fontId="2" fillId="3" borderId="2" xfId="0" applyAlignment="1">
      <x:alignment vertical="center" wrapText="1"/>
    </x:xf>
    <x:xf numFmtId="0" fontId="0" fillId="5" borderId="3" xfId="0" applyAlignment="1">
      <x:alignment wrapText="1"/>
    </x:xf>
    <x:xf numFmtId="0" fontId="0" fillId="0" borderId="2" xfId="0" applyAlignment="1">
      <x:alignment vertical="top" wrapText="1"/>
    </x:xf>
    <x:xf numFmtId="167" fontId="0" fillId="4" borderId="1" xfId="0" applyAlignment="1">
      <x:alignment vertical="top" wrapText="1"/>
    </x:xf>
    <x:xf numFmtId="167" fontId="0" fillId="4" borderId="3" xfId="0" applyAlignment="1">
      <x:alignment vertical="top" wrapText="1"/>
    </x:xf>
    <x:xf numFmtId="168" fontId="0" fillId="4" borderId="1" xfId="0" applyAlignment="1">
      <x:alignment vertical="top" wrapText="1"/>
    </x:xf>
    <x:xf numFmtId="168" fontId="0" fillId="4" borderId="3" xfId="0" applyAlignment="1">
      <x:alignment vertical="top" wrapText="1"/>
    </x:xf>
    <x:xf numFmtId="165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169" fontId="0" fillId="4" borderId="3" xfId="0" applyAlignment="1">
      <x:alignment vertical="top" wrapText="1"/>
    </x:xf>
    <x:xf numFmtId="0" fontId="0" fillId="4" borderId="1" xfId="0" applyAlignment="1">
      <x:alignment vertical="top" wrapText="1"/>
    </x:xf>
    <x:xf numFmtId="167" fontId="0" fillId="4" borderId="1" xfId="0" applyAlignment="1">
      <x:alignment vertical="top" wrapText="1"/>
    </x:xf>
    <x:xf numFmtId="168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0" fontId="0" fillId="0" borderId="6" xfId="0"/>
    <x:xf numFmtId="0" fontId="0" fillId="0" borderId="7" xfId="0"/>
    <x:xf numFmtId="0" fontId="0" fillId="0" borderId="0" xfId="0"/>
    <x:xf numFmtId="0" fontId="3" fillId="2" borderId="1" xfId="0" applyAlignment="1">
      <x:alignment vertical="center" wrapText="1"/>
    </x:xf>
    <x:xf numFmtId="0" fontId="0" fillId="4" borderId="1" xfId="0" applyAlignment="1">
      <x:alignment vertical="top" wrapText="1"/>
    </x:xf>
    <x:xf numFmtId="164" fontId="0" fillId="4" borderId="1" xfId="0" applyAlignment="1">
      <x:alignment vertical="top" wrapText="1"/>
    </x:xf>
    <x:xf numFmtId="2" fontId="0" fillId="4" borderId="1" xfId="0" applyAlignment="1">
      <x:alignment vertical="top" wrapText="1"/>
    </x:xf>
    <x:xf numFmtId="165" fontId="0" fillId="4" borderId="1" xfId="0" applyAlignment="1">
      <x:alignment vertical="top" wrapText="1"/>
    </x:xf>
    <x:xf numFmtId="166" fontId="0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0" fontId="0" fillId="0" borderId="1" xfId="0"/>
    <x:xf numFmtId="166" fontId="0" fillId="0" borderId="1" xfId="0"/>
    <x:xf numFmtId="165" fontId="0" fillId="0" borderId="1" xfId="0"/>
    <x:xf numFmtId="0" fontId="4" fillId="5" borderId="1" xfId="0" applyAlignment="1">
      <x:alignment wrapText="1"/>
    </x:xf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0" fillId="5" borderId="1" xfId="0" applyAlignment="1">
      <x:alignment wrapText="1"/>
    </x:xf>
    <x:xf numFmtId="0" fontId="0" fillId="0" borderId="0" xfId="0" applyAlignment="1">
      <x:alignment vertical="top" wrapText="1"/>
    </x:xf>
    <x:xf numFmtId="167" fontId="0" fillId="4" borderId="1" xfId="0" applyAlignment="1">
      <x:alignment vertical="top" wrapText="1"/>
    </x:xf>
    <x:xf numFmtId="168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0" fontId="0" fillId="0" borderId="6" xfId="0"/>
    <x:xf numFmtId="0" fontId="0" fillId="0" borderId="7" xfId="0"/>
    <x:xf numFmtId="167" fontId="0" fillId="0" borderId="1" xfId="0" applyAlignment="1">
      <x:alignment vertical="top" wrapText="1"/>
    </x:xf>
    <x:xf numFmtId="2" fontId="0" fillId="4" borderId="1" xfId="0" applyAlignment="1">
      <x:alignment vertical="top" wrapText="1"/>
    </x:xf>
    <x:xf numFmtId="2" fontId="0" fillId="0" borderId="1" xfId="0" applyAlignment="1">
      <x:alignment vertical="top" wrapText="1"/>
    </x:xf>
    <x:xf numFmtId="169" fontId="0" fillId="0" borderId="1" xfId="0" applyAlignment="1">
      <x:alignment vertical="top" wrapText="1"/>
    </x:xf>
    <x:xf numFmtId="0" fontId="3" fillId="6" borderId="1" xfId="0" applyAlignment="1">
      <x:alignment vertical="center" wrapText="1"/>
    </x:xf>
    <x:xf numFmtId="0" fontId="3" fillId="6" borderId="1" xfId="0" applyAlignment="1">
      <x:alignment horizontal="center" vertical="center" wrapText="1"/>
    </x:xf>
    <x:xf numFmtId="0" fontId="0" fillId="6" borderId="0" xfId="0"/>
    <x:xf numFmtId="0" fontId="1" fillId="6" borderId="0" xfId="0"/>
    <x:xf numFmtId="0" fontId="1" fillId="6" borderId="0" xfId="0" applyAlignment="1">
      <x:alignment horizontal="center"/>
    </x:xf>
    <x:xf numFmtId="0" fontId="1" fillId="6" borderId="0" xfId="0" applyAlignment="1">
      <x:alignment horizontal="center" vertical="center"/>
    </x:xf>
    <x:xf numFmtId="0" fontId="0" fillId="7" borderId="0" xfId="0"/>
    <x:xf numFmtId="0" fontId="5" fillId="7" borderId="0" xfId="0"/>
    <x:xf numFmtId="0" fontId="5" fillId="7" borderId="0" xfId="0" applyAlignment="1">
      <x:alignment horizontal="center"/>
    </x:xf>
    <x:xf numFmtId="0" fontId="0" fillId="8" borderId="0" xfId="0"/>
    <x:xf numFmtId="0" fontId="3" fillId="8" borderId="0" xfId="0"/>
    <x:xf numFmtId="0" fontId="3" fillId="8" borderId="0" xfId="0" applyAlignment="1">
      <x:alignment horizontal="center"/>
    </x:xf>
    <x:xf numFmtId="0" fontId="6" fillId="7" borderId="0" xfId="0"/>
    <x:xf numFmtId="0" fontId="3" fillId="8" borderId="0" xfId="0" applyAlignment="1">
      <x:alignment horizontal="center"/>
    </x:xf>
    <x:xf numFmtId="0" fontId="0" fillId="0" borderId="0" xfId="0"/>
    <x:xf numFmtId="2" fontId="0" fillId="0" borderId="0" xfId="0"/>
    <x:xf numFmtId="169" fontId="0" fillId="0" borderId="0" xfId="0"/>
    <x:xf numFmtId="169" fontId="0" fillId="0" borderId="1" xfId="0"/>
    <x:xf numFmtId="2" fontId="0" fillId="0" borderId="1" xfId="0"/>
    <x:xf numFmtId="0" fontId="7" fillId="0" borderId="0" xfId="0"/>
    <x:xf numFmtId="2" fontId="0" fillId="0" borderId="1" xfId="0"/>
    <x:xf numFmtId="0" fontId="1" fillId="6" borderId="2" xfId="0" applyAlignment="1">
      <x:alignment horizontal="center" vertical="center"/>
    </x:xf>
    <x:xf numFmtId="0" fontId="5" fillId="7" borderId="2" xfId="0" applyAlignment="1">
      <x:alignment horizontal="center"/>
    </x:xf>
    <x:xf numFmtId="2" fontId="0" fillId="0" borderId="0" xfId="0"/>
    <x:xf numFmtId="0" fontId="6" fillId="7" borderId="2" xfId="0"/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164" fontId="0" fillId="4" borderId="1" xfId="0" applyNumberFormat="1" applyFont="1" applyFill="1" applyBorder="1" applyAlignment="1">
      <x:alignment vertical="top" wrapText="1"/>
    </x:xf>
    <x:xf numFmtId="2" fontId="0" fillId="4" borderId="1" xfId="0" applyNumberFormat="1" applyFont="1" applyFill="1" applyBorder="1" applyAlignment="1">
      <x:alignment vertical="top" wrapText="1"/>
    </x:xf>
    <x:xf numFmtId="165" fontId="0" fillId="4" borderId="1" xfId="0" applyNumberFormat="1" applyFont="1" applyFill="1" applyBorder="1" applyAlignment="1">
      <x:alignment vertical="top" wrapText="1"/>
    </x:xf>
    <x:xf numFmtId="166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2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166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166" fontId="0" fillId="0" borderId="1" xfId="0" applyNumberFormat="1" applyFont="1" applyFill="1" applyBorder="1"/>
    <x:xf numFmtId="165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7" fontId="0" fillId="4" borderId="1" xfId="0" applyNumberFormat="1" applyFont="1" applyFill="1" applyBorder="1" applyAlignment="1">
      <x:alignment vertical="top" wrapText="1"/>
    </x:xf>
    <x:xf numFmtId="168" fontId="0" fillId="4" borderId="1" xfId="0" applyNumberFormat="1" applyFont="1" applyFill="1" applyBorder="1" applyAlignment="1">
      <x:alignment vertical="top" wrapText="1"/>
    </x:xf>
    <x:xf numFmtId="169" fontId="0" fillId="4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67" fontId="0" fillId="0" borderId="1" xfId="0" applyNumberFormat="1" applyFont="1" applyFill="1" applyBorder="1" applyAlignment="1">
      <x:alignment vertical="top" wrapText="1"/>
    </x:xf>
    <x:xf numFmtId="169" fontId="0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2" fontId="0" fillId="0" borderId="0" xfId="0" applyNumberFormat="1" applyFont="1" applyFill="1" applyBorder="1"/>
    <x:xf numFmtId="169" fontId="0" fillId="0" borderId="0" xfId="0" applyNumberFormat="1" applyFont="1" applyFill="1" applyBorder="1"/>
    <x:xf numFmtId="169" fontId="0" fillId="0" borderId="1" xfId="0" applyNumberFormat="1" applyFont="1" applyFill="1" applyBorder="1"/>
    <x:xf numFmtId="2" fontId="0" fillId="0" borderId="1" xfId="0" applyNumberFormat="1" applyFont="1" applyFill="1" applyBorder="1"/>
    <x:xf numFmtId="0" fontId="7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c3ba881f44d5c" /><Relationship Type="http://schemas.openxmlformats.org/officeDocument/2006/relationships/theme" Target="/xl/theme/theme1.xml" Id="Rd6e25f5df04c415b" /><Relationship Type="http://schemas.openxmlformats.org/officeDocument/2006/relationships/sharedStrings" Target="/xl/sharedStrings.xml" Id="Rdede8e334a664391" /><Relationship Type="http://schemas.openxmlformats.org/officeDocument/2006/relationships/worksheet" Target="/xl/worksheets/sheet1.xml" Id="R69bcf84e421e4fdd" /><Relationship Type="http://schemas.openxmlformats.org/officeDocument/2006/relationships/worksheet" Target="/xl/worksheets/sheet2.xml" Id="Rbaf09ccf93ef492d" /><Relationship Type="http://schemas.openxmlformats.org/officeDocument/2006/relationships/worksheet" Target="/xl/worksheets/sheet3.xml" Id="Rb1575a6a1f1e4790" /><Relationship Type="http://schemas.openxmlformats.org/officeDocument/2006/relationships/worksheet" Target="/xl/worksheets/sheet4.xml" Id="R4114ec369c004072" /><Relationship Type="http://schemas.openxmlformats.org/officeDocument/2006/relationships/worksheet" Target="/xl/worksheets/sheet5.xml" Id="R586e05f56b0446ae" /><Relationship Type="http://schemas.openxmlformats.org/officeDocument/2006/relationships/worksheet" Target="/xl/worksheets/sheet6.xml" Id="Rab85d94360824d11" /><Relationship Type="http://schemas.openxmlformats.org/officeDocument/2006/relationships/worksheet" Target="/xl/worksheets/sheet7.xml" Id="R6a0b647764a64a9a" /><Relationship Type="http://schemas.openxmlformats.org/officeDocument/2006/relationships/worksheet" Target="/xl/worksheets/sheet8.xml" Id="R7806fef7237b40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58dad2ba5a4863" /><Relationship Type="http://schemas.openxmlformats.org/officeDocument/2006/relationships/chart" Target="/xl/drawings/charts/chart2.xml" Id="R12c0a872051b4a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Skráðir tímar eftir vinnupakka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Áætlun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#,##0 "kr."</c:formatCode>
                <c:ptCount val="0"/>
              </c:numCache>
            </c:numRef>
          </c:val>
        </c:ser>
        <c:ser>
          <c:idx val="1"/>
          <c:order val="1"/>
          <c:tx>
            <c:v>Tímar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'Dashboard'!$C$13:$C$19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Tímar eftir mánuði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Tímar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'Dashboard'!$F$13:$F$18</c:f>
              <c:strCache>
                <c:ptCount val="0"/>
              </c:strCache>
            </c:strRef>
          </c:cat>
          <c:val>
            <c:numRef>
              <c:f>'Dashboard'!$G$13:$G$18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58dad2ba5a4863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c0a872051b4a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3a9d833eba842c5" /></Relationships>
</file>

<file path=xl/worksheets/sheet1.xml><?xml version="1.0" encoding="utf-8"?>
<x:worksheet xmlns:x="http://schemas.openxmlformats.org/spreadsheetml/2006/main">
  <x:sheetPr>
    <x:tabColor rgb="FF0F6B4F"/>
  </x:sheetPr>
  <x:sheetViews>
    <x:sheetView showGridLines="0" workbookViewId="0"/>
  </x:sheetViews>
  <x:sheetFormatPr baseColWidth="8" defaultRowHeight="14.5"/>
  <x:cols>
    <x:col min="1" max="1" width="12" style="97" customWidth="1"/>
    <x:col min="2" max="2" width="12" style="97" customWidth="1"/>
    <x:col min="3" max="3" width="24" style="97" customWidth="1"/>
    <x:col min="4" max="4" width="9" style="97" customWidth="1"/>
    <x:col min="5" max="5" width="34" style="97" customWidth="1"/>
    <x:col min="6" max="6" width="28" style="97" customWidth="1"/>
    <x:col min="7" max="7" width="24" style="97" customWidth="1"/>
    <x:col min="8" max="8" width="45" style="97" customWidth="1"/>
    <x:col min="9" max="9" width="38" style="97" customWidth="1"/>
    <x:col min="10" max="10" width="32" style="97" customWidth="1"/>
    <x:col min="11" max="11" width="24" style="97" customWidth="1"/>
    <x:col min="12" max="12" width="14" style="97" customWidth="1"/>
    <x:col min="13" max="13" width="12" style="97" customWidth="1"/>
    <x:col min="14" max="14" width="18" style="97" customWidth="1"/>
    <x:col min="15" max="15" width="18" style="97" customWidth="1"/>
    <x:col min="16" max="16" width="16" style="97" customWidth="1"/>
    <x:col min="17" max="17" width="18" style="97" customWidth="1"/>
    <x:col min="18" max="18" width="22" style="97" customWidth="1"/>
    <x:col min="19" max="19" width="14" style="97" customWidth="1"/>
    <x:col min="20" max="20" width="14" style="97" customWidth="1"/>
    <x:col min="21" max="21" width="36" style="97" customWidth="1"/>
  </x:cols>
  <x:sheetData>
    <x:row r="1" s="97" customFormat="1" ht="30" customHeight="1">
      <x:c r="A1" s="37" t="inlineStr">
        <x:is>
          <x:t xml:space="preserve">CampCast Project Time Log 2026, v2</x:t>
        </x:is>
      </x:c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</x:row>
    <x:row r="2" s="97" customFormat="1" ht="38" customHeight="1">
      <x:c r="A2" s="38" t="inlineStr">
        <x:is>
          <x:t xml:space="preserve">Tvöfalt flokkunarkerfi: WP-sýn fyrir verkefnastýringu og TÞS kostnaðarflokkur samkvæmt hjálparskjali sjóðsins. Skráning er ekki sjálfkrafa staðfesting á styrkhæfi.</x:t>
        </x:is>
      </x:c>
      <x:c r="B2" s="21" t="n"/>
      <x:c r="C2" s="21" t="n"/>
      <x:c r="D2" s="21" t="n"/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</x:row>
    <x:row r="4" s="97" customFormat="1" ht="42" customHeight="1">
      <x:c r="A4" s="84" t="inlineStr">
        <x:is>
          <x:t xml:space="preserve">Entry ID</x:t>
        </x:is>
      </x:c>
      <x:c r="B4" s="84" t="inlineStr">
        <x:is>
          <x:t xml:space="preserve">Dagsetning</x:t>
        </x:is>
      </x:c>
      <x:c r="C4" s="84" t="inlineStr">
        <x:is>
          <x:t xml:space="preserve">Starfsmaður</x:t>
        </x:is>
      </x:c>
      <x:c r="D4" s="84" t="inlineStr">
        <x:is>
          <x:t xml:space="preserve">Tímar</x:t>
        </x:is>
      </x:c>
      <x:c r="E4" s="84" t="inlineStr">
        <x:is>
          <x:t xml:space="preserve">WP / verkefnaflokkur</x:t>
        </x:is>
      </x:c>
      <x:c r="F4" s="84" t="inlineStr">
        <x:is>
          <x:t xml:space="preserve">TÞS kostnaðarflokkur</x:t>
        </x:is>
      </x:c>
      <x:c r="G4" s="84" t="inlineStr">
        <x:is>
          <x:t xml:space="preserve">Verkþáttur</x:t>
        </x:is>
      </x:c>
      <x:c r="H4" s="84" t="inlineStr">
        <x:is>
          <x:t xml:space="preserve">Nákvæm lýsing vinnu</x:t>
        </x:is>
      </x:c>
      <x:c r="I4" s="84" t="inlineStr">
        <x:is>
          <x:t xml:space="preserve">Afhending / niðurstaða</x:t>
        </x:is>
      </x:c>
      <x:c r="J4" s="84" t="inlineStr">
        <x:is>
          <x:t xml:space="preserve">Evidence / skráarslóð</x:t>
        </x:is>
      </x:c>
      <x:c r="K4" s="84" t="inlineStr">
        <x:is>
          <x:t xml:space="preserve">Evidence tegund</x:t>
        </x:is>
      </x:c>
      <x:c r="L4" s="84" t="inlineStr">
        <x:is>
          <x:t xml:space="preserve">Viðmið klst. í mannmánuði</x:t>
        </x:is>
      </x:c>
      <x:c r="M4" s="84" t="inlineStr">
        <x:is>
          <x:t xml:space="preserve">Mannmánuðir</x:t>
        </x:is>
      </x:c>
      <x:c r="N4" s="84" t="inlineStr">
        <x:is>
          <x:t xml:space="preserve">Mánaðarleg laun og launatengd gjöld kr.</x:t>
        </x:is>
      </x:c>
      <x:c r="O4" s="84" t="inlineStr">
        <x:is>
          <x:t xml:space="preserve">Reiknaður formlegur launakostnaður kr.</x:t>
        </x:is>
      </x:c>
      <x:c r="P4" s="84" t="inlineStr">
        <x:is>
          <x:t xml:space="preserve">Innra tímagjald kr.</x:t>
        </x:is>
      </x:c>
      <x:c r="Q4" s="84" t="inlineStr">
        <x:is>
          <x:t xml:space="preserve">Innra reiknað virði kr.</x:t>
        </x:is>
      </x:c>
      <x:c r="R4" s="84" t="inlineStr">
        <x:is>
          <x:t xml:space="preserve">Kostnaðarstaða</x:t>
        </x:is>
      </x:c>
      <x:c r="S4" s="84" t="inlineStr">
        <x:is>
          <x:t xml:space="preserve">Greitt úr styrk?</x:t>
        </x:is>
      </x:c>
      <x:c r="T4" s="84" t="inlineStr">
        <x:is>
          <x:t xml:space="preserve">Greiðsludagur</x:t>
        </x:is>
      </x:c>
      <x:c r="U4" s="84" t="inlineStr">
        <x:is>
          <x:t xml:space="preserve">Athugasemdir</x:t>
        </x:is>
      </x:c>
    </x:row>
    <x:row r="5" s="97" customFormat="1" ht="72.5" customHeight="1">
      <x:c r="A5" s="56" t="inlineStr">
        <x:is>
          <x:t xml:space="preserve">TL-0001</x:t>
        </x:is>
      </x:c>
      <x:c r="B5" s="74" t="n">
        <x:v>46212</x:v>
      </x:c>
      <x:c r="C5" s="56" t="inlineStr">
        <x:is>
          <x:t xml:space="preserve">Róbert Marvin Gíslason</x:t>
        </x:is>
      </x:c>
      <x:c r="D5" s="58" t="n">
        <x:v>4</x:v>
      </x:c>
      <x:c r="E5" s="56" t="inlineStr">
        <x:is>
          <x:t xml:space="preserve">WP0 - Verkefnastjórnun og uppsetning</x:t>
        </x:is>
      </x:c>
      <x:c r="F5" s="56" t="inlineStr">
        <x:is>
          <x:t xml:space="preserve">Laun og launatengd gjöld</x:t>
        </x:is>
      </x:c>
      <x:c r="G5" s="56" t="inlineStr">
        <x:is>
          <x:t xml:space="preserve">Project setup &amp; planning</x:t>
        </x:is>
      </x:c>
      <x:c r="H5" s="56" t="inlineStr">
        <x:is>
          <x:t xml:space="preserve">Uppsetning verkefnaskipulags og framkvæmdaáætlunar eftir samning, fjárhagsrammi, möppuskipulag, Model Validation vinnupakki, hönnun Field Study 01 og gagnasöfnunarkerfis.</x:t>
        </x:is>
      </x:c>
      <x:c r="I5" s="56" t="inlineStr">
        <x:is>
          <x:t xml:space="preserve">Yfirverkefnaskipulag, rannsóknarrammi og Field Study 01 validation log tilbúið.</x:t>
        </x:is>
      </x:c>
      <x:c r="J5" s="56" t="inlineStr">
        <x:is>
          <x:t xml:space="preserve">00_Master / 01_Model_Validation / 06_Finance</x:t>
        </x:is>
      </x:c>
      <x:c r="K5" s="56" t="inlineStr">
        <x:is>
          <x:t xml:space="preserve">Skjal</x:t>
        </x:is>
      </x:c>
      <x:c r="L5" s="58" t="n">
        <x:f>IF(B5="","",173.33)</x:f>
        <x:v>173.33</x:v>
      </x:c>
      <x:c r="M5" s="58" t="n">
        <x:f>IF(OR(D5="",L5=""),"",D5/L5)</x:f>
        <x:v>0.02307736687243985</x:v>
      </x:c>
      <x:c r="N5" s="76" t="n"/>
      <x:c r="O5" s="76" t="str">
        <x:f>IF(OR(M5="",N5=""),"",M5*N5)</x:f>
      </x:c>
      <x:c r="P5" s="76" t="n">
        <x:f>IF(B5="","",6732)</x:f>
        <x:v>6732</x:v>
      </x:c>
      <x:c r="Q5" s="76" t="n">
        <x:f>IF(OR(D5="",P5=""),"",D5*P5)</x:f>
        <x:v>26928</x:v>
      </x:c>
      <x:c r="R5" s="56" t="inlineStr">
        <x:is>
          <x:t xml:space="preserve">Til staðfestingar</x:t>
        </x:is>
      </x:c>
      <x:c r="S5" s="56" t="inlineStr">
        <x:is>
          <x:t xml:space="preserve">Nei</x:t>
        </x:is>
      </x:c>
      <x:c r="T5" s="74" t="n"/>
      <x:c r="U5" s="56" t="inlineStr">
        <x:is>
          <x:t xml:space="preserve">4 klst. skráðar. Innra viðmið 6.732 kr./klst. Formlegur launakostnaður skilið autt þar til mánaðarlegur launakostnaður með viðeigandi launatengdum gjöldum hefur verið ákveðinn.</x:t>
        </x:is>
      </x:c>
    </x:row>
    <x:row r="6" s="97" customFormat="1" ht="72.5" customHeight="1">
      <x:c r="A6" s="61" t="inlineStr">
        <x:is>
          <x:t xml:space="preserve">TL-0002</x:t>
        </x:is>
      </x:c>
      <x:c r="B6" s="79" t="n">
        <x:v>46212</x:v>
      </x:c>
      <x:c r="C6" s="61" t="inlineStr">
        <x:is>
          <x:t xml:space="preserve">Róbert Marvin Gíslason</x:t>
        </x:is>
      </x:c>
      <x:c r="D6" s="63" t="n">
        <x:v>3.5</x:v>
      </x:c>
      <x:c r="E6" s="61" t="inlineStr">
        <x:is>
          <x:t xml:space="preserve">Verkefni 1. Samanburður tveggja tjaldsvæða</x:t>
        </x:is>
      </x:c>
      <x:c r="F6" s="61" t="inlineStr">
        <x:is>
          <x:t xml:space="preserve">Laun og launatengd gjöld</x:t>
        </x:is>
      </x:c>
      <x:c r="G6" s="61" t="inlineStr">
        <x:is>
          <x:t xml:space="preserve">Programming</x:t>
        </x:is>
      </x:c>
      <x:c r="H6" s="73" t="inlineStr">
        <x:is>
          <x:t xml:space="preserve">Þróun á samanburðareiginleika sem gerir notanda kleift að velja tvö tjaldsvæði og bera saman veðurspá þeirra dag fyrir dag. Innleiðing á grunnflæði, vali á tveimur svæðum, samanburðaryfirliti og undirbúningi fyrir klukkutímagögn.</x:t>
        </x:is>
      </x:c>
      <x:c r="I6" s="73" t="inlineStr">
        <x:is>
          <x:t xml:space="preserve">Virkur samanburður milli tveggja valinna tjaldsvæða í Eltum Veðrið, með daglegu yfirliti og grunni fyrir nánari klukkutímasamanburð.</x:t>
        </x:is>
      </x:c>
      <x:c r="J6" s="56" t="inlineStr">
        <x:is>
          <x:t xml:space="preserve">Github miðar 340 - 342</x:t>
        </x:is>
      </x:c>
      <x:c r="K6" s="61" t="inlineStr">
        <x:is>
          <x:t xml:space="preserve">Kóði / Git commit / Pull request</x:t>
        </x:is>
      </x:c>
      <x:c r="L6" s="63" t="n">
        <x:f>IF(B6="","",173.33)</x:f>
        <x:v>173.33</x:v>
      </x:c>
      <x:c r="M6" s="63" t="n">
        <x:f>IF(OR(D6="",L6=""),"",D6/L6)</x:f>
        <x:v>0.020192696013384873</x:v>
      </x:c>
      <x:c r="N6" s="82" t="n"/>
      <x:c r="O6" s="82" t="str">
        <x:f>IF(OR(M6="",N6=""),"",M6*N6)</x:f>
      </x:c>
      <x:c r="P6" s="82" t="n">
        <x:f>IF(B6="","",6732)</x:f>
        <x:v>6732</x:v>
      </x:c>
      <x:c r="Q6" s="82" t="n">
        <x:f>IF(OR(D6="",P6=""),"",D6*P6)</x:f>
        <x:v>23562</x:v>
      </x:c>
      <x:c r="R6" s="61" t="inlineStr">
        <x:is>
          <x:t xml:space="preserve">Til staðfestingar</x:t>
        </x:is>
      </x:c>
      <x:c r="S6" s="61" t="inlineStr">
        <x:is>
          <x:t xml:space="preserve">Nei</x:t>
        </x:is>
      </x:c>
      <x:c r="T6" s="79" t="n"/>
      <x:c r="U6" s="73" t="inlineStr">
        <x:is>
          <x:t xml:space="preserve">Verkefnið er hluti af þróun Pro/paygate virkni fyrir Eltum Veðrið. Tímar byggja á skráðri verkefnavinnu og verða staðfestir með Git/verkefnaskráningu.</x:t>
        </x:is>
      </x:c>
    </x:row>
    <x:row r="7" s="97" customFormat="1" ht="72" customHeight="1">
      <x:c r="A7" s="56" t="inlineStr">
        <x:is>
          <x:t xml:space="preserve">TL-0003</x:t>
        </x:is>
      </x:c>
      <x:c r="B7" s="74" t="n">
        <x:v>46223</x:v>
      </x:c>
      <x:c r="C7" s="56" t="inlineStr">
        <x:is>
          <x:t xml:space="preserve">Róbert Marvin Gíslason</x:t>
        </x:is>
      </x:c>
      <x:c r="D7" s="58" t="n">
        <x:v>10</x:v>
      </x:c>
      <x:c r="E7" s="56" t="inlineStr">
        <x:is>
          <x:t xml:space="preserve">WP1 - Reiknilíkan og tæknileg sannprófun</x:t>
        </x:is>
      </x:c>
      <x:c r="F7" s="56" t="inlineStr">
        <x:is>
          <x:t xml:space="preserve">Laun og launatengd gjöld</x:t>
        </x:is>
      </x:c>
      <x:c r="G7" s="56" t="inlineStr">
        <x:is>
          <x:t xml:space="preserve">Reporting</x:t>
        </x:is>
      </x:c>
      <x:c r="H7" s="56" t="inlineStr">
        <x:is>
          <x:t xml:space="preserve">Skýrslugerð og úrvinnsla vettvangssannprófunar Eltum Veðrið. Yfirferð og samantekt rannsóknargagna og skjáskota, tenging gagna við EV-auðkenni, gerð og uppfærsla niðurstöðukafla fyrir rannsóknarstaði, útfylling samanburðartaflna og viðauka, samsetning heildarskýrslu, efnisyfirlit, blaðsíðutal og lokayfirferð.</x:t>
        </x:is>
      </x:c>
      <x:c r="I7" s="56" t="inlineStr">
        <x:is>
          <x:t xml:space="preserve">Fullunnin rannsóknarskýrsla um vettvangssannprófun Eltum Veðrið ásamt viðaukum, EV-tilvísunum, samanburðartöflum og uppfærðu Validation Log.</x:t>
        </x:is>
      </x:c>
      <x:c r="J7" s="56" t="inlineStr">
        <x:is>
          <x:t xml:space="preserve">01_Model_Validation / Field Study 01 / Rannsoknarskyrsla_Eltum_Vedrid_LOKASKJAL_v3.docx</x:t>
        </x:is>
      </x:c>
      <x:c r="K7" s="56" t="inlineStr">
        <x:is>
          <x:t xml:space="preserve">Skjal</x:t>
        </x:is>
      </x:c>
      <x:c r="L7" s="58" t="n">
        <x:f>IF(B7="","",173.33)</x:f>
        <x:v>173.33</x:v>
      </x:c>
      <x:c r="M7" s="58" t="n">
        <x:f>IF(OR(D7="",L7=""),"",D7/L7)</x:f>
        <x:v>0.05769341718109963</x:v>
      </x:c>
      <x:c r="N7" s="76" t="n"/>
      <x:c r="O7" s="76" t="str">
        <x:f>IF(OR(M7="",N7=""),"",M7*N7)</x:f>
      </x:c>
      <x:c r="P7" s="76" t="n">
        <x:f>IF(B7="","",6732)</x:f>
        <x:v>6732</x:v>
      </x:c>
      <x:c r="Q7" s="76" t="n">
        <x:f>IF(OR(D7="",P7=""),"",D7*P7)</x:f>
        <x:v>67320</x:v>
      </x:c>
      <x:c r="R7" s="56" t="inlineStr">
        <x:is>
          <x:t xml:space="preserve">Til staðfestingar</x:t>
        </x:is>
      </x:c>
      <x:c r="S7" s="56" t="inlineStr">
        <x:is>
          <x:t xml:space="preserve">Nei</x:t>
        </x:is>
      </x:c>
      <x:c r="T7" s="74" t="n"/>
      <x:c r="U7" s="56" t="inlineStr">
        <x:is>
          <x:t xml:space="preserve">10 klst. samfelldur vinnudagur við skýrslugerð, úrvinnslu rannsóknargagna og lokafrágang vettvangssannprófunar. Formlegur launakostnaður verður staðfestur síðar.</x:t>
        </x:is>
      </x:c>
    </x:row>
    <x:row r="8">
      <x:c r="A8" s="61" t="inlineStr">
        <x:is>
          <x:t xml:space="preserve">TL-0004</x:t>
        </x:is>
      </x:c>
      <x:c r="B8" s="79" t="n">
        <x:v>46238</x:v>
      </x:c>
      <x:c r="C8" s="61" t="inlineStr">
        <x:is>
          <x:t xml:space="preserve">Róbert Marvin Gíslason</x:t>
        </x:is>
      </x:c>
      <x:c r="D8" s="63" t="n">
        <x:v>2</x:v>
      </x:c>
      <x:c r="E8" s="61" t="inlineStr">
        <x:is>
          <x:t xml:space="preserve">WP0 - Verkefnastjórnun og uppsetning</x:t>
        </x:is>
      </x:c>
      <x:c r="F8" s="61" t="inlineStr">
        <x:is>
          <x:t xml:space="preserve">Laun og launatengd gjöld</x:t>
        </x:is>
      </x:c>
      <x:c r="G8" s="61" t="inlineStr">
        <x:is>
          <x:t xml:space="preserve">Programming</x:t>
        </x:is>
      </x:c>
      <x:c r="H8" s="61" t="inlineStr">
        <x:is>
          <x:t xml:space="preserve">Innleiðing og prófanir á bakendabreytingum fyrir nýjar áskriftarleiðir, one-time passa, Paddle samþættingu og undirbúningur fyrir deploy.</x:t>
        </x:is>
      </x:c>
      <x:c r="I8" s="61" t="inlineStr">
        <x:is>
          <x:t xml:space="preserve">Bakendi tilbúinn til prófana fyrir deploy.</x:t>
        </x:is>
      </x:c>
      <x:c r="J8" s="61" t="inlineStr">
        <x:is>
          <x:t xml:space="preserve">Github</x:t>
        </x:is>
      </x:c>
      <x:c r="K8" s="61" t="inlineStr">
        <x:is>
          <x:t xml:space="preserve">Kóði / Git commit / Pull request</x:t>
        </x:is>
      </x:c>
      <x:c r="L8" s="63" t="n">
        <x:f>IF(B8="","",173.33)</x:f>
        <x:v>173.33</x:v>
      </x:c>
      <x:c r="M8" s="63" t="n">
        <x:f>IF(OR(D8="",L8=""),"",D8/L8)</x:f>
        <x:v>0.011538683436219926</x:v>
      </x:c>
      <x:c r="N8" s="82" t="n"/>
      <x:c r="O8" s="82" t="str">
        <x:f>IF(OR(M8="",N8=""),"",M8*N8)</x:f>
      </x:c>
      <x:c r="P8" s="82" t="n">
        <x:f>IF(B8="","",6732)</x:f>
        <x:v>6732</x:v>
      </x:c>
      <x:c r="Q8" s="82" t="n">
        <x:f>IF(OR(D8="",P8=""),"",D8*P8)</x:f>
        <x:v>13464</x:v>
      </x:c>
      <x:c r="R8" s="61" t="inlineStr">
        <x:is>
          <x:t xml:space="preserve">Til staðfestingar</x:t>
        </x:is>
      </x:c>
      <x:c r="S8" s="61" t="inlineStr">
        <x:is>
          <x:t xml:space="preserve">Nei</x:t>
        </x:is>
      </x:c>
      <x:c r="T8" s="79" t="n"/>
      <x:c r="U8" s="61" t="n"/>
    </x:row>
    <x:row r="9">
      <x:c r="A9" s="61" t="inlineStr">
        <x:is>
          <x:t xml:space="preserve">TL-0005</x:t>
        </x:is>
      </x:c>
      <x:c r="B9" s="79" t="n">
        <x:v>46239</x:v>
      </x:c>
      <x:c r="C9" s="61" t="inlineStr">
        <x:is>
          <x:t xml:space="preserve">Róbert Marvin Gíslason</x:t>
        </x:is>
      </x:c>
      <x:c r="D9" s="63" t="n">
        <x:v>1</x:v>
      </x:c>
      <x:c r="E9" s="61" t="inlineStr">
        <x:is>
          <x:t xml:space="preserve">WP0 - Verkefnastjórnun og uppsetning</x:t>
        </x:is>
      </x:c>
      <x:c r="F9" s="61" t="inlineStr">
        <x:is>
          <x:t xml:space="preserve">Laun og launatengd gjöld</x:t>
        </x:is>
      </x:c>
      <x:c r="G9" s="61" t="inlineStr">
        <x:is>
          <x:t xml:space="preserve">Project management</x:t>
        </x:is>
      </x:c>
      <x:c r="H9" s="61" t="inlineStr">
        <x:is>
          <x:t xml:space="preserve">Umsýsla verkefnis, yfirferð á stöðu verkefnis, skipulag næstu verkþátta, yfirferð fjárhags og verkefnagagna.</x:t>
        </x:is>
      </x:c>
      <x:c r="I9" s="61" t="inlineStr">
        <x:is>
          <x:t xml:space="preserve">Uppfærð verkefna- og fjárhagsyfirsýn.</x:t>
        </x:is>
      </x:c>
      <x:c r="J9" s="61" t="inlineStr">
        <x:is>
          <x:t xml:space="preserve">06_Finance</x:t>
        </x:is>
      </x:c>
      <x:c r="K9" s="61" t="inlineStr">
        <x:is>
          <x:t xml:space="preserve">Skjal</x:t>
        </x:is>
      </x:c>
      <x:c r="L9" s="63" t="n">
        <x:f>IF(B9="","",173.33)</x:f>
        <x:v>173.33</x:v>
      </x:c>
      <x:c r="M9" s="63" t="n">
        <x:f>IF(OR(D9="",L9=""),"",D9/L9)</x:f>
        <x:v>0.005769341718109963</x:v>
      </x:c>
      <x:c r="N9" s="82" t="n"/>
      <x:c r="O9" s="82" t="str">
        <x:f>IF(OR(M9="",N9=""),"",M9*N9)</x:f>
      </x:c>
      <x:c r="P9" s="82" t="n">
        <x:f>IF(B9="","",6732)</x:f>
        <x:v>6732</x:v>
      </x:c>
      <x:c r="Q9" s="82" t="n">
        <x:f>IF(OR(D9="",P9=""),"",D9*P9)</x:f>
        <x:v>6732</x:v>
      </x:c>
      <x:c r="R9" s="61" t="inlineStr">
        <x:is>
          <x:t xml:space="preserve">Til staðfestingar</x:t>
        </x:is>
      </x:c>
      <x:c r="S9" s="61" t="inlineStr">
        <x:is>
          <x:t xml:space="preserve">Nei</x:t>
        </x:is>
      </x:c>
      <x:c r="T9" s="79" t="n"/>
      <x:c r="U9" s="61" t="n"/>
    </x:row>
    <x:row r="10">
      <x:c r="A10" s="61" t="str">
        <x:v>TL-0006</x:v>
      </x:c>
      <x:c r="B10" s="133" t="n">
        <x:v>46240</x:v>
      </x:c>
      <x:c r="C10" s="61" t="str">
        <x:v>Róbert Marvin Gíslason</x:v>
      </x:c>
      <x:c r="D10" s="63" t="n">
        <x:v>2</x:v>
      </x:c>
      <x:c r="E10" s="61" t="str">
        <x:v>WP1 - Reiknilíkan og tæknileg sannprófun</x:v>
      </x:c>
      <x:c r="F10" s="61" t="str">
        <x:v>Laun og launatengd gjöld</x:v>
      </x:c>
      <x:c r="G10" s="61" t="str">
        <x:v>Technical development</x:v>
      </x:c>
      <x:c r="H10" s="61" t="str">
        <x:v>Undirbúningur innleiðingar á takmörkun Free-spár. Yfirferð og skráning GA4 baseline-mælingar, tæknileg kortlagning forecast-flæðis, mat á server-side aðgangsstýringu og client-cache, öryggis- og áhættuyfirferð og fullgerð innleiðingaráætlun/prompt fyrir aðalkeyrslu 7. ágúst 2026.</x:v>
      </x:c>
      <x:c r="I10" s="61" t="str">
        <x:v>GA4 Free v2 baseline fyrir 23.07.–05.08.2026 skjalfest og fullbúið, öryggisrýnt innleiðingarprompt fyrir takmörkun Free-spár tilbúið til keyrslu.</x:v>
      </x:c>
      <x:c r="J10" s="61" t="str">
        <x:v>07_Reports / 01_Analytics / Free_v2_Baseline_GA4_2026-07-23_to_2026-08-05.docx; Github miðar #343–#346</x:v>
      </x:c>
      <x:c r="K10" s="61" t="str">
        <x:v>Skjal</x:v>
      </x:c>
      <x:c r="L10" s="63" t="n">
        <x:f>IF(B10="","",173.33)</x:f>
        <x:v>173.33</x:v>
      </x:c>
      <x:c r="M10" s="63" t="n">
        <x:f>IF(OR(D10="",L10=""),"",D10/L10)</x:f>
        <x:v>0.011538683436219926</x:v>
      </x:c>
      <x:c r="N10" s="82"/>
      <x:c r="O10" s="82" t="str">
        <x:f>IF(OR(M10="",N10=""),"",M10*N10)</x:f>
      </x:c>
      <x:c r="P10" s="82" t="n">
        <x:f>IF(B10="","",6732)</x:f>
        <x:v>6732</x:v>
      </x:c>
      <x:c r="Q10" s="82" t="n">
        <x:f>IF(OR(D10="",P10=""),"",D10*P10)</x:f>
        <x:v>13464</x:v>
      </x:c>
      <x:c r="R10" s="61" t="str">
        <x:v>Til staðfestingar</x:v>
      </x:c>
      <x:c r="S10" s="61" t="str">
        <x:v>Nei</x:v>
      </x:c>
      <x:c r="T10" s="79"/>
      <x:c r="U10" s="61" t="str">
        <x:v>2 klst. undirbúningsvinna. Aðalinnleiðing fyrirhuguð 7. ágúst 2026.</x:v>
      </x:c>
    </x:row>
    <x:row r="11">
      <x:c r="A11" s="56" t="str">
        <x:v>TL-0007</x:v>
      </x:c>
      <x:c r="B11" s="128" t="n">
        <x:v>46241</x:v>
      </x:c>
      <x:c r="C11" s="56" t="str">
        <x:v>Róbert Marvin Gíslason</x:v>
      </x:c>
      <x:c r="D11" s="58" t="n">
        <x:v>2</x:v>
      </x:c>
      <x:c r="E11" s="56" t="str">
        <x:v>WP1 - Reiknilíkan og tæknileg sannprófun</x:v>
      </x:c>
      <x:c r="F11" s="56" t="str">
        <x:v>Laun og launatengd gjöld</x:v>
      </x:c>
      <x:c r="G11" s="56" t="str">
        <x:v>Technical development</x:v>
      </x:c>
      <x:c r="H11" s="56" t="str">
        <x:v>Free-v2 conversion og aðgangsstýring: tæknileg greining á 7 daga og klukkutímaspá sem mögulegum Free/Pro-mörkum; báðir miðar stöðvaðir áður en kóðabreytingar voru gerðar vegna áhrifa á scoring/gagnapípu. Hönnun, yfirferð og innleiðing á einu ókeypis tjaldsvæðasamanburðar-smakki per session fyrir Free, ásamt analytics og Pro-CTA. Undirbúningur á næsta conversion-miða fyrir vikuröðun.</x:v>
      </x:c>
      <x:c r="I11" s="56" t="str">
        <x:v>Fyrsta Free-v2 conversion-breyting komin í production 7.8.2026 kl. 18:17 UTC. Free fær einn fullan, óskertan tjaldsvæðasamanburð per session og síðan Pro-lás. Tvær forecast-takmarkanir felldar niður á könnunarstigi og hönnunarregla staðfest: takmarka hversu oft/hversu mikið, ekki breyta scoring-inntaki.</x:v>
      </x:c>
      <x:c r="J11" s="56" t="str">
        <x:v>Github / Free-v2 miðar; Eltum_Vedrid_Akvordun_Free_7_daga_spa_2026-08-07.docx; Eltum_Vedrid_Akvordun_Hourly_Free_Pro_2026-08-07.docx</x:v>
      </x:c>
      <x:c r="K11" s="56" t="str">
        <x:v>Kóði / Git commit / Skjal</x:v>
      </x:c>
      <x:c r="L11" s="58" t="n">
        <x:v>173.33</x:v>
      </x:c>
      <x:c r="M11" s="58" t="n">
        <x:f>D11/L11</x:f>
        <x:v>0.011538683436219926</x:v>
      </x:c>
      <x:c r="N11" s="76"/>
      <x:c r="O11" s="76"/>
      <x:c r="P11" s="76" t="n">
        <x:v>6732</x:v>
      </x:c>
      <x:c r="Q11" s="76" t="n">
        <x:f>D11*P11</x:f>
        <x:v>13464</x:v>
      </x:c>
      <x:c r="R11" s="56" t="str">
        <x:v>Til staðfestingar</x:v>
      </x:c>
      <x:c r="S11" s="56" t="str">
        <x:v>Nei</x:v>
      </x:c>
      <x:c r="T11" s="74"/>
      <x:c r="U11" s="56" t="str">
        <x:v>2 klst. vinnulota. Free-v2 mælingartímabil hófst 7.8.2026 kl. 18:17 UTC við fyrsta production deploy. Engar kóðabreytingar gerðar vegna 7 daga eða hourly miðanna.</x:v>
      </x:c>
    </x:row>
    <x:row r="12">
      <x:c r="A12" s="61" t="str">
        <x:v>TL-0008</x:v>
      </x:c>
      <x:c r="B12" s="133" t="n">
        <x:v>46246</x:v>
      </x:c>
      <x:c r="C12" s="61" t="str">
        <x:v>Róbert Marvin Gíslason</x:v>
      </x:c>
      <x:c r="D12" s="153" t="n">
        <x:v>2.6666666667</x:v>
      </x:c>
      <x:c r="E12" s="61" t="str">
        <x:v>WP1 - Reiknilíkan og tæknileg sannprófun</x:v>
      </x:c>
      <x:c r="F12" s="61" t="str">
        <x:v>Laun og launatengd gjöld</x:v>
      </x:c>
      <x:c r="G12" s="61" t="str">
        <x:v>Technical development</x:v>
      </x:c>
      <x:c r="H12" s="61" t="str">
        <x:v>Free-v2 framhalds- og lokafrágangur: yfirferð og staðfesting á Miða 7b checkout-attribution, uppfærsla varanlegra agent-/verkefnareglna í CLAUDE.md og AGENTS.md, audit og lagfæring á stale checkout_source attribution, ásamt read-only 7c pricing/PricingInfo value-positioning audit og undirbúningi að 7c-1 copy-innleiðingu.</x:v>
      </x:c>
      <x:c r="I12" s="61" t="str">
        <x:v>Checkout attribution og stale-source lifecycle staðfest/lagað með regression-prófum; varanleg Free/Pro, canonical tone, attribution og audit-first guardrails skjalfest; 7c klofið í 7c-1 Pricing cards og 7c-2 PricingInfo með staðfestu implementation-scope.</x:v>
      </x:c>
      <x:c r="J12" s="61" t="str">
        <x:v>Github / CLAUDE.md / AGENTS.md / Free-v2 miðar 7b, stale checkout_source og 7c audit</x:v>
      </x:c>
      <x:c r="K12" s="61" t="str">
        <x:v>Kóði / Git commit / Skjal</x:v>
      </x:c>
      <x:c r="L12" s="63" t="n">
        <x:v>173.33</x:v>
      </x:c>
      <x:c r="M12" s="154" t="n">
        <x:f>IF(OR(D12="",L12=""),"",D12/L12)</x:f>
        <x:v>0.015384911248485546</x:v>
      </x:c>
      <x:c r="N12" s="82"/>
      <x:c r="O12" s="82" t="str">
        <x:f>IF(OR(M12="",N12=""),"",M12*N12)</x:f>
      </x:c>
      <x:c r="P12" s="155" t="n">
        <x:f>IF(B12="","",6732)</x:f>
        <x:v>6732</x:v>
      </x:c>
      <x:c r="Q12" s="155" t="n">
        <x:f>IF(OR(D12="",P12=""),"",D12*P12)</x:f>
        <x:v>17952.000000224398</x:v>
      </x:c>
      <x:c r="R12" s="61" t="str">
        <x:v>Til staðfestingar</x:v>
      </x:c>
      <x:c r="S12" s="61" t="str">
        <x:v>Nei</x:v>
      </x:c>
      <x:c r="T12" s="79"/>
      <x:c r="U12" s="61" t="str">
        <x:v>2 klst. og 40 mín. vinnulota, 12. ágúst 2026 kl. 18:00–20:40. Tæknileg þróun, regression-yfirferð og verkefnaskjölun tengd Free-v2 og pricing conversion.</x:v>
      </x:c>
    </x:row>
    <x:row r="13">
      <x:c r="A13" s="56" t="str">
        <x:v>TL-0009</x:v>
      </x:c>
      <x:c r="B13" s="128" t="n">
        <x:v>46247</x:v>
      </x:c>
      <x:c r="C13" s="56" t="str">
        <x:v>Róbert Marvin Gíslason</x:v>
      </x:c>
      <x:c r="D13" s="156" t="n">
        <x:v>1.5</x:v>
      </x:c>
      <x:c r="E13" s="56" t="str">
        <x:v>WP1 - Reiknilíkan og tæknileg sannprófun</x:v>
      </x:c>
      <x:c r="F13" s="56" t="str">
        <x:v>Laun og launatengd gjöld</x:v>
      </x:c>
      <x:c r="G13" s="56" t="str">
        <x:v>Technical development</x:v>
      </x:c>
      <x:c r="H13" s="56" t="str">
        <x:v>Lokafrágangur Free-v2 / Pro-conversion: 7c-1 Pricing cards outcome/value copy samþykkt og innleitt; 7c-2 PricingInfo endurstaðsett sem second value layer, Feature3 mismatch lagað og tvítekinn includes-listi fjarlægður. Yfirferð á factual claims, canonical tone, shared-key scope og regression-prófunum.</x:v>
      </x:c>
      <x:c r="I13" s="56" t="str">
        <x:v>Free-v2 / Miði 7 lotunni lokið. Pricing og PricingInfo samræmd að ákvörðunarvirði án breytinga á checkout/payment logic; 419/419 próf græn og Project Status uppfært með milestone.</x:v>
      </x:c>
      <x:c r="J13" s="56" t="str">
        <x:v>Github / Miði 7c-1 / Miði 7c-2 / Project_Status_FRA_v4_2026-08-13.docx</x:v>
      </x:c>
      <x:c r="K13" s="56" t="str">
        <x:v>Kóði / Git commit / Skjal</x:v>
      </x:c>
      <x:c r="L13" s="58" t="n">
        <x:v>173.33</x:v>
      </x:c>
      <x:c r="M13" s="157" t="n">
        <x:v>0.008654012577164945</x:v>
      </x:c>
      <x:c r="N13" s="76"/>
      <x:c r="O13" s="76"/>
      <x:c r="P13" s="76" t="n">
        <x:v>6732</x:v>
      </x:c>
      <x:c r="Q13" s="158" t="n">
        <x:v>10098</x:v>
      </x:c>
      <x:c r="R13" s="56" t="str">
        <x:v>Til staðfestingar</x:v>
      </x:c>
      <x:c r="S13" s="56" t="str">
        <x:v>Nei</x:v>
      </x:c>
      <x:c r="T13" s="74"/>
      <x:c r="U13" s="56" t="str">
        <x:v>1,5 klst. vinnulota, 13. ágúst 2026. Lokafrágangur pricing/value-positioning, prófanir og verkefnaskjölun; Free-v2 merkt lokið.</x:v>
      </x:c>
    </x:row>
    <x:row r="14">
      <x:c r="A14" s="61" t="str">
        <x:v>TL-0010</x:v>
      </x:c>
      <x:c r="B14" s="133" t="n">
        <x:v>46248</x:v>
      </x:c>
      <x:c r="C14" s="61" t="str">
        <x:v>Róbert Marvin Gíslason</x:v>
      </x:c>
      <x:c r="D14" s="63" t="n">
        <x:v>3</x:v>
      </x:c>
      <x:c r="E14" s="61" t="str">
        <x:v>WP1 - Reiknilíkan og tæknileg sannprófun</x:v>
      </x:c>
      <x:c r="F14" s="61" t="str">
        <x:v>Laun og launatengd gjöld</x:v>
      </x:c>
      <x:c r="G14" s="61" t="str">
        <x:v>Programming</x:v>
      </x:c>
      <x:c r="H14" s="61" t="str">
        <x:v>Forritun og tæknileg þróunarvinna við Eltum Veðrið.</x:v>
      </x:c>
      <x:c r="I14" s="61" t="str">
        <x:v>Þróunarvinna unnin og breytingar undirbúnar/innleiddar.</x:v>
      </x:c>
      <x:c r="J14" s="61" t="str">
        <x:v>Github</x:v>
      </x:c>
      <x:c r="K14" s="61" t="str">
        <x:v>Kóði / Git commit / Pull request</x:v>
      </x:c>
      <x:c r="L14" s="63" t="n">
        <x:f>IF(B14="","",173.33)</x:f>
        <x:v>173.33</x:v>
      </x:c>
      <x:c r="M14" s="63" t="n">
        <x:f>IF(OR(D14="",L14=""),"",D14/L14)</x:f>
        <x:v>0.01730802515432989</x:v>
      </x:c>
      <x:c r="N14" s="82"/>
      <x:c r="O14" s="82" t="str">
        <x:f>IF(OR(M14="",N14=""),"",M14*N14)</x:f>
      </x:c>
      <x:c r="P14" s="82" t="n">
        <x:f>IF(B14="","",6732)</x:f>
        <x:v>6732</x:v>
      </x:c>
      <x:c r="Q14" s="82" t="n">
        <x:f>IF(OR(D14="",P14=""),"",D14*P14)</x:f>
        <x:v>20196</x:v>
      </x:c>
      <x:c r="R14" s="61" t="str">
        <x:v>Til staðfestingar</x:v>
      </x:c>
      <x:c r="S14" s="61" t="str">
        <x:v>Nei</x:v>
      </x:c>
      <x:c r="T14" s="79"/>
      <x:c r="U14" s="61" t="str">
        <x:v>3 klst. vinnulota, 14. ágúst 2026. Forritun og tæknileg þróun.</x:v>
      </x:c>
    </x:row>
    <x:row r="15">
      <x:c r="A15" s="56" t="str">
        <x:v>TL-0011</x:v>
      </x:c>
      <x:c r="B15" s="128" t="n">
        <x:v>46251</x:v>
      </x:c>
      <x:c r="C15" s="56" t="str">
        <x:v>Róbert Marvin Gíslason</x:v>
      </x:c>
      <x:c r="D15" s="58" t="n">
        <x:v>2</x:v>
      </x:c>
      <x:c r="E15" s="56" t="str">
        <x:v>WP0 - Verkefnastjórnun og uppsetning</x:v>
      </x:c>
      <x:c r="F15" s="56" t="str">
        <x:v>Laun og launatengd gjöld</x:v>
      </x:c>
      <x:c r="G15" s="56" t="str">
        <x:v>Project management</x:v>
      </x:c>
      <x:c r="H15" s="56" t="str">
        <x:v>UX-baklogg og verkefnastýring: yfirferð á aðgerðaröð UX-miða, stofnun upstream dependency cleanup-miða og athugun á röðun í GitHub Projects.</x:v>
      </x:c>
      <x:c r="I15" s="56" t="str">
        <x:v>UX-miðar #373–#377 greindir og rétt aðgerðaröð staðfest; workbox-build cleanup skráð sem #379 og Projects-aðgangur/röðun yfirfarin.</x:v>
      </x:c>
      <x:c r="J15" s="56" t="str">
        <x:v>Github miðar #373–#379 / Icelandic Weather Roadmap</x:v>
      </x:c>
      <x:c r="K15" s="56" t="str">
        <x:v>Skjal / GitHub issue</x:v>
      </x:c>
      <x:c r="L15" s="58" t="n">
        <x:f>IF(B15="","",173.33)</x:f>
        <x:v>173.33</x:v>
      </x:c>
      <x:c r="M15" s="58" t="n">
        <x:f>IF(OR(D15="",L15=""),"",D15/L15)</x:f>
        <x:v>0.011538683436219926</x:v>
      </x:c>
      <x:c r="N15" s="76"/>
      <x:c r="O15" s="76" t="str">
        <x:f>IF(OR(M15="",N15=""),"",M15*N15)</x:f>
      </x:c>
      <x:c r="P15" s="76" t="n">
        <x:f>IF(B15="","",6732)</x:f>
        <x:v>6732</x:v>
      </x:c>
      <x:c r="Q15" s="76" t="n">
        <x:f>IF(OR(D15="",P15=""),"",D15*P15)</x:f>
        <x:v>13464</x:v>
      </x:c>
      <x:c r="R15" s="56" t="str">
        <x:v>Til staðfestingar</x:v>
      </x:c>
      <x:c r="S15" s="56" t="str">
        <x:v>Nei</x:v>
      </x:c>
      <x:c r="T15" s="74"/>
      <x:c r="U15" s="56" t="str">
        <x:v>2 klst. vinnulota, 17. ágúst 2026. UX-baklogg, GitHub miðar og verkefnaborð.</x:v>
      </x:c>
    </x:row>
    <x:row r="16">
      <x:c r="A16" s="61" t="str">
        <x:f>IF(B16="","","TL-"&amp;TEXT(ROW()-4,"0000"))</x:f>
        <x:v>TL-0012</x:v>
      </x:c>
      <x:c r="B16" s="79" t="n">
        <x:v>46253</x:v>
      </x:c>
      <x:c r="C16" s="61" t="str">
        <x:v>Róbert Marvin Gíslason</x:v>
      </x:c>
      <x:c r="D16" s="63" t="n">
        <x:v>3</x:v>
      </x:c>
      <x:c r="E16" s="61" t="str">
        <x:v>WP1 - Reiknilíkan og tæknileg sannprófun</x:v>
      </x:c>
      <x:c r="F16" s="61" t="str">
        <x:v>Laun og launatengd gjöld</x:v>
      </x:c>
      <x:c r="G16" s="61" t="str">
        <x:v>Programming</x:v>
      </x:c>
      <x:c r="H16" s="61" t="str">
        <x:v>Forritun og tæknileg þróunarvinna við Eltum Veðrið.</x:v>
      </x:c>
      <x:c r="I16" s="61" t="str">
        <x:v>Þróunarvinna unnin og breytingar undirbúnar/innleiddar.</x:v>
      </x:c>
      <x:c r="J16" s="61" t="str">
        <x:v>Github</x:v>
      </x:c>
      <x:c r="K16" s="61" t="str">
        <x:v>Kóði / Git commit / Pull request</x:v>
      </x:c>
      <x:c r="L16" s="63" t="n">
        <x:f>IF(B16="","",173.33)</x:f>
        <x:v>173.33</x:v>
      </x:c>
      <x:c r="M16" s="63" t="n">
        <x:f>IF(OR(D16="",L16=""),"",D16/L16)</x:f>
        <x:v>0.01730802515432989</x:v>
      </x:c>
      <x:c r="N16" s="82" t="n"/>
      <x:c r="O16" s="82" t="str">
        <x:f>IF(OR(M16="",N16=""),"",M16*N16)</x:f>
      </x:c>
      <x:c r="P16" s="82" t="n">
        <x:f>IF(B16="","",6732)</x:f>
        <x:v>6732</x:v>
      </x:c>
      <x:c r="Q16" s="82" t="n">
        <x:f>IF(OR(D16="",P16=""),"",D16*P16)</x:f>
        <x:v>20196</x:v>
      </x:c>
      <x:c r="R16" s="61" t="str">
        <x:v>Til staðfestingar</x:v>
      </x:c>
      <x:c r="S16" s="61" t="str">
        <x:v>Nei</x:v>
      </x:c>
      <x:c r="T16" s="79"/>
      <x:c r="U16" s="61" t="str">
        <x:v>3 klst. vinnulota, 19. ágúst 2026. Forritun og tæknileg þróun.</x:v>
      </x:c>
    </x:row>
    <x:row r="17">
      <x:c r="A17" s="56" t="str">
        <x:f>IF(B17="","","TL-"&amp;TEXT(ROW()-4,"0000"))</x:f>
        <x:v>TL-0013</x:v>
      </x:c>
      <x:c r="B17" s="74" t="n">
        <x:v>46255</x:v>
      </x:c>
      <x:c r="C17" s="56" t="str">
        <x:v>Róbert Marvin Gíslason</x:v>
      </x:c>
      <x:c r="D17" s="58" t="n">
        <x:v>2</x:v>
      </x:c>
      <x:c r="E17" s="56" t="str">
        <x:v>WP1 - Reiknilíkan og tæknileg sannprófun</x:v>
      </x:c>
      <x:c r="F17" s="56" t="str">
        <x:v>Laun og launatengd gjöld</x:v>
      </x:c>
      <x:c r="G17" s="56" t="str">
        <x:v>Technical development</x:v>
      </x:c>
      <x:c r="H17" s="56" t="str">
        <x:v>ESLint-baseline maintenance og audit: yfirferð á lint-niðurstöðum, greining á cross-file i18n duplicate keys og ósamhverfri merge precedence, ásamt afmörkun follow-up vinnu fyrir copy og translation architecture.</x:v>
      </x:c>
      <x:c r="I17" s="56" t="str">
        <x:v>ESLint-baseline follow-up scope skjalfest; i18n architecture audit og íslenskt Top 5 copy-polish skráð í aðskilda backlog-miða #385 og #386.</x:v>
      </x:c>
      <x:c r="J17" s="56" t="str">
        <x:v>Github #372, #385 og #386 / Icelandic Weather Roadmap</x:v>
      </x:c>
      <x:c r="K17" s="56" t="str">
        <x:v>Kóði / audit / GitHub issue</x:v>
      </x:c>
      <x:c r="L17" s="58" t="n">
        <x:f>IF(B17="","",173.33)</x:f>
        <x:v>173.33</x:v>
      </x:c>
      <x:c r="M17" s="58" t="n">
        <x:f>IF(OR(D17="",L17=""),"",D17/L17)</x:f>
        <x:v>0.011538683436219926</x:v>
      </x:c>
      <x:c r="N17" s="76" t="n"/>
      <x:c r="O17" s="76" t="str">
        <x:f>IF(OR(M17="",N17=""),"",M17*N17)</x:f>
      </x:c>
      <x:c r="P17" s="76" t="n">
        <x:f>IF(B17="","",6732)</x:f>
        <x:v>6732</x:v>
      </x:c>
      <x:c r="Q17" s="76" t="n">
        <x:f>IF(OR(D17="",P17=""),"",D17*P17)</x:f>
        <x:v>13464</x:v>
      </x:c>
      <x:c r="R17" s="56" t="str">
        <x:v>Til staðfestingar</x:v>
      </x:c>
      <x:c r="S17" s="56" t="str">
        <x:v>Nei</x:v>
      </x:c>
      <x:c r="T17" s="74"/>
      <x:c r="U17" s="56" t="str">
        <x:v>2 klst. vinnulota, 21. ágúst 2026. ESLint-baseline maintenance, audit og follow-up verkefnavinna; engin implementation í follow-up miðunum.</x:v>
      </x:c>
    </x:row>
    <x:row r="18">
      <x:c r="A18" s="61" t="str">
        <x:f>IF(B18="","","TL-"&amp;TEXT(ROW()-4,"0000"))</x:f>
      </x:c>
      <x:c r="B18" s="79" t="n"/>
      <x:c r="C18" s="61" t="n"/>
      <x:c r="D18" s="63" t="n"/>
      <x:c r="E18" s="61" t="n"/>
      <x:c r="F18" s="61" t="n"/>
      <x:c r="G18" s="61" t="n"/>
      <x:c r="H18" s="61" t="n"/>
      <x:c r="I18" s="61" t="n"/>
      <x:c r="J18" s="61" t="n"/>
      <x:c r="K18" s="61" t="n"/>
      <x:c r="L18" s="63" t="str">
        <x:f>IF(B18="","",173.33)</x:f>
      </x:c>
      <x:c r="M18" s="63" t="str">
        <x:f>IF(OR(D18="",L18=""),"",D18/L18)</x:f>
      </x:c>
      <x:c r="N18" s="82" t="n"/>
      <x:c r="O18" s="82" t="str">
        <x:f>IF(OR(M18="",N18=""),"",M18*N18)</x:f>
      </x:c>
      <x:c r="P18" s="82" t="str">
        <x:f>IF(B18="","",6732)</x:f>
      </x:c>
      <x:c r="Q18" s="82" t="str">
        <x:f>IF(OR(D18="",P18=""),"",D18*P18)</x:f>
      </x:c>
      <x:c r="R18" s="61" t="n"/>
      <x:c r="S18" s="61" t="n"/>
      <x:c r="T18" s="79" t="n"/>
      <x:c r="U18" s="61" t="n"/>
    </x:row>
    <x:row r="19">
      <x:c r="A19" s="56" t="str">
        <x:f>IF(B19="","","TL-"&amp;TEXT(ROW()-4,"0000"))</x:f>
      </x:c>
      <x:c r="B19" s="74" t="n"/>
      <x:c r="C19" s="56" t="n"/>
      <x:c r="D19" s="58" t="n"/>
      <x:c r="E19" s="56" t="n"/>
      <x:c r="F19" s="56" t="n"/>
      <x:c r="G19" s="56" t="n"/>
      <x:c r="H19" s="56" t="n"/>
      <x:c r="I19" s="56" t="n"/>
      <x:c r="J19" s="56" t="n"/>
      <x:c r="K19" s="56" t="n"/>
      <x:c r="L19" s="58" t="str">
        <x:f>IF(B19="","",173.33)</x:f>
      </x:c>
      <x:c r="M19" s="58" t="str">
        <x:f>IF(OR(D19="",L19=""),"",D19/L19)</x:f>
      </x:c>
      <x:c r="N19" s="76" t="n"/>
      <x:c r="O19" s="76" t="str">
        <x:f>IF(OR(M19="",N19=""),"",M19*N19)</x:f>
      </x:c>
      <x:c r="P19" s="76" t="str">
        <x:f>IF(B19="","",6732)</x:f>
      </x:c>
      <x:c r="Q19" s="76" t="str">
        <x:f>IF(OR(D19="",P19=""),"",D19*P19)</x:f>
      </x:c>
      <x:c r="R19" s="56" t="n"/>
      <x:c r="S19" s="56" t="n"/>
      <x:c r="T19" s="74" t="n"/>
      <x:c r="U19" s="56" t="n"/>
    </x:row>
    <x:row r="20">
      <x:c r="A20" s="61" t="str">
        <x:f>IF(B20="","","TL-"&amp;TEXT(ROW()-4,"0000"))</x:f>
      </x:c>
      <x:c r="B20" s="79" t="n"/>
      <x:c r="C20" s="61" t="n"/>
      <x:c r="D20" s="63" t="n"/>
      <x:c r="E20" s="61" t="n"/>
      <x:c r="F20" s="61" t="n"/>
      <x:c r="G20" s="61" t="n"/>
      <x:c r="H20" s="61" t="n"/>
      <x:c r="I20" s="61" t="n"/>
      <x:c r="J20" s="61" t="n"/>
      <x:c r="K20" s="61" t="n"/>
      <x:c r="L20" s="63" t="str">
        <x:f>IF(B20="","",173.33)</x:f>
      </x:c>
      <x:c r="M20" s="63" t="str">
        <x:f>IF(OR(D20="",L20=""),"",D20/L20)</x:f>
      </x:c>
      <x:c r="N20" s="82" t="n"/>
      <x:c r="O20" s="82" t="str">
        <x:f>IF(OR(M20="",N20=""),"",M20*N20)</x:f>
      </x:c>
      <x:c r="P20" s="82" t="str">
        <x:f>IF(B20="","",6732)</x:f>
      </x:c>
      <x:c r="Q20" s="82" t="str">
        <x:f>IF(OR(D20="",P20=""),"",D20*P20)</x:f>
      </x:c>
      <x:c r="R20" s="61" t="n"/>
      <x:c r="S20" s="61" t="n"/>
      <x:c r="T20" s="79" t="n"/>
      <x:c r="U20" s="61" t="n"/>
    </x:row>
    <x:row r="21">
      <x:c r="A21" s="56" t="str">
        <x:f>IF(B21="","","TL-"&amp;TEXT(ROW()-4,"0000"))</x:f>
      </x:c>
      <x:c r="B21" s="74" t="n"/>
      <x:c r="C21" s="56" t="n"/>
      <x:c r="D21" s="58" t="n"/>
      <x:c r="E21" s="56" t="n"/>
      <x:c r="F21" s="56" t="n"/>
      <x:c r="G21" s="56" t="n"/>
      <x:c r="H21" s="56" t="n"/>
      <x:c r="I21" s="56" t="n"/>
      <x:c r="J21" s="56" t="n"/>
      <x:c r="K21" s="56" t="n"/>
      <x:c r="L21" s="58" t="str">
        <x:f>IF(B21="","",173.33)</x:f>
      </x:c>
      <x:c r="M21" s="58" t="str">
        <x:f>IF(OR(D21="",L21=""),"",D21/L21)</x:f>
      </x:c>
      <x:c r="N21" s="76" t="n"/>
      <x:c r="O21" s="76" t="str">
        <x:f>IF(OR(M21="",N21=""),"",M21*N21)</x:f>
      </x:c>
      <x:c r="P21" s="76" t="str">
        <x:f>IF(B21="","",6732)</x:f>
      </x:c>
      <x:c r="Q21" s="76" t="str">
        <x:f>IF(OR(D21="",P21=""),"",D21*P21)</x:f>
      </x:c>
      <x:c r="R21" s="56" t="n"/>
      <x:c r="S21" s="56" t="n"/>
      <x:c r="T21" s="74" t="n"/>
      <x:c r="U21" s="56" t="n"/>
    </x:row>
    <x:row r="22">
      <x:c r="A22" s="61" t="str">
        <x:f>IF(B22="","","TL-"&amp;TEXT(ROW()-4,"0000"))</x:f>
      </x:c>
      <x:c r="B22" s="79" t="n"/>
      <x:c r="C22" s="61" t="n"/>
      <x:c r="D22" s="63" t="n"/>
      <x:c r="E22" s="61" t="n"/>
      <x:c r="F22" s="61" t="n"/>
      <x:c r="G22" s="61" t="n"/>
      <x:c r="H22" s="61" t="n"/>
      <x:c r="I22" s="61" t="n"/>
      <x:c r="J22" s="61" t="n"/>
      <x:c r="K22" s="61" t="n"/>
      <x:c r="L22" s="63" t="str">
        <x:f>IF(B22="","",173.33)</x:f>
      </x:c>
      <x:c r="M22" s="63" t="str">
        <x:f>IF(OR(D22="",L22=""),"",D22/L22)</x:f>
      </x:c>
      <x:c r="N22" s="82" t="n"/>
      <x:c r="O22" s="82" t="str">
        <x:f>IF(OR(M22="",N22=""),"",M22*N22)</x:f>
      </x:c>
      <x:c r="P22" s="82" t="str">
        <x:f>IF(B22="","",6732)</x:f>
      </x:c>
      <x:c r="Q22" s="82" t="str">
        <x:f>IF(OR(D22="",P22=""),"",D22*P22)</x:f>
      </x:c>
      <x:c r="R22" s="61" t="n"/>
      <x:c r="S22" s="61" t="n"/>
      <x:c r="T22" s="79" t="n"/>
      <x:c r="U22" s="61" t="n"/>
    </x:row>
    <x:row r="23">
      <x:c r="A23" s="56" t="str">
        <x:f>IF(B23="","","TL-"&amp;TEXT(ROW()-4,"0000"))</x:f>
      </x:c>
      <x:c r="B23" s="74" t="n"/>
      <x:c r="C23" s="56" t="n"/>
      <x:c r="D23" s="58" t="n"/>
      <x:c r="E23" s="56" t="n"/>
      <x:c r="F23" s="56" t="n"/>
      <x:c r="G23" s="56" t="n"/>
      <x:c r="H23" s="56" t="n"/>
      <x:c r="I23" s="56" t="n"/>
      <x:c r="J23" s="56" t="n"/>
      <x:c r="K23" s="56" t="n"/>
      <x:c r="L23" s="58" t="str">
        <x:f>IF(B23="","",173.33)</x:f>
      </x:c>
      <x:c r="M23" s="58" t="str">
        <x:f>IF(OR(D23="",L23=""),"",D23/L23)</x:f>
      </x:c>
      <x:c r="N23" s="76" t="n"/>
      <x:c r="O23" s="76" t="str">
        <x:f>IF(OR(M23="",N23=""),"",M23*N23)</x:f>
      </x:c>
      <x:c r="P23" s="76" t="str">
        <x:f>IF(B23="","",6732)</x:f>
      </x:c>
      <x:c r="Q23" s="76" t="str">
        <x:f>IF(OR(D23="",P23=""),"",D23*P23)</x:f>
      </x:c>
      <x:c r="R23" s="56" t="n"/>
      <x:c r="S23" s="56" t="n"/>
      <x:c r="T23" s="74" t="n"/>
      <x:c r="U23" s="56" t="n"/>
    </x:row>
    <x:row r="24">
      <x:c r="A24" s="61" t="str">
        <x:f>IF(B24="","","TL-"&amp;TEXT(ROW()-4,"0000"))</x:f>
      </x:c>
      <x:c r="B24" s="79" t="n"/>
      <x:c r="C24" s="61" t="n"/>
      <x:c r="D24" s="63" t="n"/>
      <x:c r="E24" s="61" t="n"/>
      <x:c r="F24" s="61" t="n"/>
      <x:c r="G24" s="61" t="n"/>
      <x:c r="H24" s="61" t="n"/>
      <x:c r="I24" s="61" t="n"/>
      <x:c r="J24" s="61" t="n"/>
      <x:c r="K24" s="61" t="n"/>
      <x:c r="L24" s="63" t="str">
        <x:f>IF(B24="","",173.33)</x:f>
      </x:c>
      <x:c r="M24" s="63" t="str">
        <x:f>IF(OR(D24="",L24=""),"",D24/L24)</x:f>
      </x:c>
      <x:c r="N24" s="82" t="n"/>
      <x:c r="O24" s="82" t="str">
        <x:f>IF(OR(M24="",N24=""),"",M24*N24)</x:f>
      </x:c>
      <x:c r="P24" s="82" t="str">
        <x:f>IF(B24="","",6732)</x:f>
      </x:c>
      <x:c r="Q24" s="82" t="str">
        <x:f>IF(OR(D24="",P24=""),"",D24*P24)</x:f>
      </x:c>
      <x:c r="R24" s="61" t="n"/>
      <x:c r="S24" s="61" t="n"/>
      <x:c r="T24" s="79" t="n"/>
      <x:c r="U24" s="61" t="n"/>
    </x:row>
    <x:row r="25">
      <x:c r="A25" s="56" t="str">
        <x:f>IF(B25="","","TL-"&amp;TEXT(ROW()-4,"0000"))</x:f>
      </x:c>
      <x:c r="B25" s="74" t="n"/>
      <x:c r="C25" s="56" t="n"/>
      <x:c r="D25" s="58" t="n"/>
      <x:c r="E25" s="56" t="n"/>
      <x:c r="F25" s="56" t="n"/>
      <x:c r="G25" s="56" t="n"/>
      <x:c r="H25" s="56" t="n"/>
      <x:c r="I25" s="56" t="n"/>
      <x:c r="J25" s="56" t="n"/>
      <x:c r="K25" s="56" t="n"/>
      <x:c r="L25" s="58" t="str">
        <x:f>IF(B25="","",173.33)</x:f>
      </x:c>
      <x:c r="M25" s="58" t="str">
        <x:f>IF(OR(D25="",L25=""),"",D25/L25)</x:f>
      </x:c>
      <x:c r="N25" s="76" t="n"/>
      <x:c r="O25" s="76" t="str">
        <x:f>IF(OR(M25="",N25=""),"",M25*N25)</x:f>
      </x:c>
      <x:c r="P25" s="76" t="str">
        <x:f>IF(B25="","",6732)</x:f>
      </x:c>
      <x:c r="Q25" s="76" t="str">
        <x:f>IF(OR(D25="",P25=""),"",D25*P25)</x:f>
      </x:c>
      <x:c r="R25" s="56" t="n"/>
      <x:c r="S25" s="56" t="n"/>
      <x:c r="T25" s="74" t="n"/>
      <x:c r="U25" s="56" t="n"/>
    </x:row>
    <x:row r="26">
      <x:c r="A26" s="61" t="str">
        <x:f>IF(B26="","","TL-"&amp;TEXT(ROW()-4,"0000"))</x:f>
      </x:c>
      <x:c r="B26" s="79" t="n"/>
      <x:c r="C26" s="61" t="n"/>
      <x:c r="D26" s="63" t="n"/>
      <x:c r="E26" s="61" t="n"/>
      <x:c r="F26" s="61" t="n"/>
      <x:c r="G26" s="61" t="n"/>
      <x:c r="H26" s="61" t="n"/>
      <x:c r="I26" s="61" t="n"/>
      <x:c r="J26" s="61" t="n"/>
      <x:c r="K26" s="61" t="n"/>
      <x:c r="L26" s="63" t="str">
        <x:f>IF(B26="","",173.33)</x:f>
      </x:c>
      <x:c r="M26" s="63" t="str">
        <x:f>IF(OR(D26="",L26=""),"",D26/L26)</x:f>
      </x:c>
      <x:c r="N26" s="82" t="n"/>
      <x:c r="O26" s="82" t="str">
        <x:f>IF(OR(M26="",N26=""),"",M26*N26)</x:f>
      </x:c>
      <x:c r="P26" s="82" t="str">
        <x:f>IF(B26="","",6732)</x:f>
      </x:c>
      <x:c r="Q26" s="82" t="str">
        <x:f>IF(OR(D26="",P26=""),"",D26*P26)</x:f>
      </x:c>
      <x:c r="R26" s="61" t="n"/>
      <x:c r="S26" s="61" t="n"/>
      <x:c r="T26" s="79" t="n"/>
      <x:c r="U26" s="61" t="n"/>
    </x:row>
    <x:row r="27">
      <x:c r="A27" s="56" t="str">
        <x:f>IF(B27="","","TL-"&amp;TEXT(ROW()-4,"0000"))</x:f>
      </x:c>
      <x:c r="B27" s="74" t="n"/>
      <x:c r="C27" s="56" t="n"/>
      <x:c r="D27" s="58" t="n"/>
      <x:c r="E27" s="56" t="n"/>
      <x:c r="F27" s="56" t="n"/>
      <x:c r="G27" s="56" t="n"/>
      <x:c r="H27" s="56" t="n"/>
      <x:c r="I27" s="56" t="n"/>
      <x:c r="J27" s="56" t="n"/>
      <x:c r="K27" s="56" t="n"/>
      <x:c r="L27" s="58" t="str">
        <x:f>IF(B27="","",173.33)</x:f>
      </x:c>
      <x:c r="M27" s="58" t="str">
        <x:f>IF(OR(D27="",L27=""),"",D27/L27)</x:f>
      </x:c>
      <x:c r="N27" s="76" t="n"/>
      <x:c r="O27" s="76" t="str">
        <x:f>IF(OR(M27="",N27=""),"",M27*N27)</x:f>
      </x:c>
      <x:c r="P27" s="76" t="str">
        <x:f>IF(B27="","",6732)</x:f>
      </x:c>
      <x:c r="Q27" s="76" t="str">
        <x:f>IF(OR(D27="",P27=""),"",D27*P27)</x:f>
      </x:c>
      <x:c r="R27" s="56" t="n"/>
      <x:c r="S27" s="56" t="n"/>
      <x:c r="T27" s="74" t="n"/>
      <x:c r="U27" s="56" t="n"/>
    </x:row>
    <x:row r="28">
      <x:c r="A28" s="61" t="str">
        <x:f>IF(B28="","","TL-"&amp;TEXT(ROW()-4,"0000"))</x:f>
      </x:c>
      <x:c r="B28" s="79" t="n"/>
      <x:c r="C28" s="61" t="n"/>
      <x:c r="D28" s="63" t="n"/>
      <x:c r="E28" s="61" t="n"/>
      <x:c r="F28" s="61" t="n"/>
      <x:c r="G28" s="61" t="n"/>
      <x:c r="H28" s="61" t="n"/>
      <x:c r="I28" s="61" t="n"/>
      <x:c r="J28" s="61" t="n"/>
      <x:c r="K28" s="61" t="n"/>
      <x:c r="L28" s="63" t="str">
        <x:f>IF(B28="","",173.33)</x:f>
      </x:c>
      <x:c r="M28" s="63" t="str">
        <x:f>IF(OR(D28="",L28=""),"",D28/L28)</x:f>
      </x:c>
      <x:c r="N28" s="82" t="n"/>
      <x:c r="O28" s="82" t="str">
        <x:f>IF(OR(M28="",N28=""),"",M28*N28)</x:f>
      </x:c>
      <x:c r="P28" s="82" t="str">
        <x:f>IF(B28="","",6732)</x:f>
      </x:c>
      <x:c r="Q28" s="82" t="str">
        <x:f>IF(OR(D28="",P28=""),"",D28*P28)</x:f>
      </x:c>
      <x:c r="R28" s="61" t="n"/>
      <x:c r="S28" s="61" t="n"/>
      <x:c r="T28" s="79" t="n"/>
      <x:c r="U28" s="61" t="n"/>
    </x:row>
    <x:row r="29">
      <x:c r="A29" s="56" t="str">
        <x:f>IF(B29="","","TL-"&amp;TEXT(ROW()-4,"0000"))</x:f>
      </x:c>
      <x:c r="B29" s="74" t="n"/>
      <x:c r="C29" s="56" t="n"/>
      <x:c r="D29" s="58" t="n"/>
      <x:c r="E29" s="56" t="n"/>
      <x:c r="F29" s="56" t="n"/>
      <x:c r="G29" s="56" t="n"/>
      <x:c r="H29" s="56" t="n"/>
      <x:c r="I29" s="56" t="n"/>
      <x:c r="J29" s="56" t="n"/>
      <x:c r="K29" s="56" t="n"/>
      <x:c r="L29" s="58" t="str">
        <x:f>IF(B29="","",173.33)</x:f>
      </x:c>
      <x:c r="M29" s="58" t="str">
        <x:f>IF(OR(D29="",L29=""),"",D29/L29)</x:f>
      </x:c>
      <x:c r="N29" s="76" t="n"/>
      <x:c r="O29" s="76" t="str">
        <x:f>IF(OR(M29="",N29=""),"",M29*N29)</x:f>
      </x:c>
      <x:c r="P29" s="76" t="str">
        <x:f>IF(B29="","",6732)</x:f>
      </x:c>
      <x:c r="Q29" s="76" t="str">
        <x:f>IF(OR(D29="",P29=""),"",D29*P29)</x:f>
      </x:c>
      <x:c r="R29" s="56" t="n"/>
      <x:c r="S29" s="56" t="n"/>
      <x:c r="T29" s="74" t="n"/>
      <x:c r="U29" s="56" t="n"/>
    </x:row>
    <x:row r="30">
      <x:c r="A30" s="61" t="str">
        <x:f>IF(B30="","","TL-"&amp;TEXT(ROW()-4,"0000"))</x:f>
      </x:c>
      <x:c r="B30" s="79" t="n"/>
      <x:c r="C30" s="61" t="n"/>
      <x:c r="D30" s="63" t="n"/>
      <x:c r="E30" s="61" t="n"/>
      <x:c r="F30" s="61" t="n"/>
      <x:c r="G30" s="61" t="n"/>
      <x:c r="H30" s="61" t="n"/>
      <x:c r="I30" s="61" t="n"/>
      <x:c r="J30" s="61" t="n"/>
      <x:c r="K30" s="61" t="n"/>
      <x:c r="L30" s="63" t="str">
        <x:f>IF(B30="","",173.33)</x:f>
      </x:c>
      <x:c r="M30" s="63" t="str">
        <x:f>IF(OR(D30="",L30=""),"",D30/L30)</x:f>
      </x:c>
      <x:c r="N30" s="82" t="n"/>
      <x:c r="O30" s="82" t="str">
        <x:f>IF(OR(M30="",N30=""),"",M30*N30)</x:f>
      </x:c>
      <x:c r="P30" s="82" t="str">
        <x:f>IF(B30="","",6732)</x:f>
      </x:c>
      <x:c r="Q30" s="82" t="str">
        <x:f>IF(OR(D30="",P30=""),"",D30*P30)</x:f>
      </x:c>
      <x:c r="R30" s="61" t="n"/>
      <x:c r="S30" s="61" t="n"/>
      <x:c r="T30" s="79" t="n"/>
      <x:c r="U30" s="61" t="n"/>
    </x:row>
    <x:row r="31">
      <x:c r="A31" s="56" t="str">
        <x:f>IF(B31="","","TL-"&amp;TEXT(ROW()-4,"0000"))</x:f>
      </x:c>
      <x:c r="B31" s="74" t="n"/>
      <x:c r="C31" s="56" t="n"/>
      <x:c r="D31" s="58" t="n"/>
      <x:c r="E31" s="56" t="n"/>
      <x:c r="F31" s="56" t="n"/>
      <x:c r="G31" s="56" t="n"/>
      <x:c r="H31" s="56" t="n"/>
      <x:c r="I31" s="56" t="n"/>
      <x:c r="J31" s="56" t="n"/>
      <x:c r="K31" s="56" t="n"/>
      <x:c r="L31" s="58" t="str">
        <x:f>IF(B31="","",173.33)</x:f>
      </x:c>
      <x:c r="M31" s="58" t="str">
        <x:f>IF(OR(D31="",L31=""),"",D31/L31)</x:f>
      </x:c>
      <x:c r="N31" s="76" t="n"/>
      <x:c r="O31" s="76" t="str">
        <x:f>IF(OR(M31="",N31=""),"",M31*N31)</x:f>
      </x:c>
      <x:c r="P31" s="76" t="str">
        <x:f>IF(B31="","",6732)</x:f>
      </x:c>
      <x:c r="Q31" s="76" t="str">
        <x:f>IF(OR(D31="",P31=""),"",D31*P31)</x:f>
      </x:c>
      <x:c r="R31" s="56" t="n"/>
      <x:c r="S31" s="56" t="n"/>
      <x:c r="T31" s="74" t="n"/>
      <x:c r="U31" s="56" t="n"/>
    </x:row>
    <x:row r="32">
      <x:c r="A32" s="61" t="str">
        <x:f>IF(B32="","","TL-"&amp;TEXT(ROW()-4,"0000"))</x:f>
      </x:c>
      <x:c r="B32" s="79" t="n"/>
      <x:c r="C32" s="61" t="n"/>
      <x:c r="D32" s="63" t="n"/>
      <x:c r="E32" s="61" t="n"/>
      <x:c r="F32" s="61" t="n"/>
      <x:c r="G32" s="61" t="n"/>
      <x:c r="H32" s="61" t="n"/>
      <x:c r="I32" s="61" t="n"/>
      <x:c r="J32" s="61" t="n"/>
      <x:c r="K32" s="61" t="n"/>
      <x:c r="L32" s="63" t="str">
        <x:f>IF(B32="","",173.33)</x:f>
      </x:c>
      <x:c r="M32" s="63" t="str">
        <x:f>IF(OR(D32="",L32=""),"",D32/L32)</x:f>
      </x:c>
      <x:c r="N32" s="82" t="n"/>
      <x:c r="O32" s="82" t="str">
        <x:f>IF(OR(M32="",N32=""),"",M32*N32)</x:f>
      </x:c>
      <x:c r="P32" s="82" t="str">
        <x:f>IF(B32="","",6732)</x:f>
      </x:c>
      <x:c r="Q32" s="82" t="str">
        <x:f>IF(OR(D32="",P32=""),"",D32*P32)</x:f>
      </x:c>
      <x:c r="R32" s="61" t="n"/>
      <x:c r="S32" s="61" t="n"/>
      <x:c r="T32" s="79" t="n"/>
      <x:c r="U32" s="61" t="n"/>
    </x:row>
    <x:row r="33">
      <x:c r="A33" s="56" t="str">
        <x:f>IF(B33="","","TL-"&amp;TEXT(ROW()-4,"0000"))</x:f>
      </x:c>
      <x:c r="B33" s="74" t="n"/>
      <x:c r="C33" s="56" t="n"/>
      <x:c r="D33" s="58" t="n"/>
      <x:c r="E33" s="56" t="n"/>
      <x:c r="F33" s="56" t="n"/>
      <x:c r="G33" s="56" t="n"/>
      <x:c r="H33" s="56" t="n"/>
      <x:c r="I33" s="56" t="n"/>
      <x:c r="J33" s="56" t="n"/>
      <x:c r="K33" s="56" t="n"/>
      <x:c r="L33" s="58" t="str">
        <x:f>IF(B33="","",173.33)</x:f>
      </x:c>
      <x:c r="M33" s="58" t="str">
        <x:f>IF(OR(D33="",L33=""),"",D33/L33)</x:f>
      </x:c>
      <x:c r="N33" s="76" t="n"/>
      <x:c r="O33" s="76" t="str">
        <x:f>IF(OR(M33="",N33=""),"",M33*N33)</x:f>
      </x:c>
      <x:c r="P33" s="76" t="str">
        <x:f>IF(B33="","",6732)</x:f>
      </x:c>
      <x:c r="Q33" s="76" t="str">
        <x:f>IF(OR(D33="",P33=""),"",D33*P33)</x:f>
      </x:c>
      <x:c r="R33" s="56" t="n"/>
      <x:c r="S33" s="56" t="n"/>
      <x:c r="T33" s="74" t="n"/>
      <x:c r="U33" s="56" t="n"/>
    </x:row>
    <x:row r="34">
      <x:c r="A34" s="61" t="str">
        <x:f>IF(B34="","","TL-"&amp;TEXT(ROW()-4,"0000"))</x:f>
      </x:c>
      <x:c r="B34" s="79" t="n"/>
      <x:c r="C34" s="61" t="n"/>
      <x:c r="D34" s="63" t="n"/>
      <x:c r="E34" s="61" t="n"/>
      <x:c r="F34" s="61" t="n"/>
      <x:c r="G34" s="61" t="n"/>
      <x:c r="H34" s="61" t="n"/>
      <x:c r="I34" s="61" t="n"/>
      <x:c r="J34" s="61" t="n"/>
      <x:c r="K34" s="61" t="n"/>
      <x:c r="L34" s="63" t="str">
        <x:f>IF(B34="","",173.33)</x:f>
      </x:c>
      <x:c r="M34" s="63" t="str">
        <x:f>IF(OR(D34="",L34=""),"",D34/L34)</x:f>
      </x:c>
      <x:c r="N34" s="82" t="n"/>
      <x:c r="O34" s="82" t="str">
        <x:f>IF(OR(M34="",N34=""),"",M34*N34)</x:f>
      </x:c>
      <x:c r="P34" s="82" t="str">
        <x:f>IF(B34="","",6732)</x:f>
      </x:c>
      <x:c r="Q34" s="82" t="str">
        <x:f>IF(OR(D34="",P34=""),"",D34*P34)</x:f>
      </x:c>
      <x:c r="R34" s="61" t="n"/>
      <x:c r="S34" s="61" t="n"/>
      <x:c r="T34" s="79" t="n"/>
      <x:c r="U34" s="61" t="n"/>
    </x:row>
    <x:row r="35">
      <x:c r="A35" s="56" t="str">
        <x:f>IF(B35="","","TL-"&amp;TEXT(ROW()-4,"0000"))</x:f>
      </x:c>
      <x:c r="B35" s="74" t="n"/>
      <x:c r="C35" s="56" t="n"/>
      <x:c r="D35" s="58" t="n"/>
      <x:c r="E35" s="56" t="n"/>
      <x:c r="F35" s="56" t="n"/>
      <x:c r="G35" s="56" t="n"/>
      <x:c r="H35" s="56" t="n"/>
      <x:c r="I35" s="56" t="n"/>
      <x:c r="J35" s="56" t="n"/>
      <x:c r="K35" s="56" t="n"/>
      <x:c r="L35" s="58" t="str">
        <x:f>IF(B35="","",173.33)</x:f>
      </x:c>
      <x:c r="M35" s="58" t="str">
        <x:f>IF(OR(D35="",L35=""),"",D35/L35)</x:f>
      </x:c>
      <x:c r="N35" s="76" t="n"/>
      <x:c r="O35" s="76" t="str">
        <x:f>IF(OR(M35="",N35=""),"",M35*N35)</x:f>
      </x:c>
      <x:c r="P35" s="76" t="str">
        <x:f>IF(B35="","",6732)</x:f>
      </x:c>
      <x:c r="Q35" s="76" t="str">
        <x:f>IF(OR(D35="",P35=""),"",D35*P35)</x:f>
      </x:c>
      <x:c r="R35" s="56" t="n"/>
      <x:c r="S35" s="56" t="n"/>
      <x:c r="T35" s="74" t="n"/>
      <x:c r="U35" s="56" t="n"/>
    </x:row>
    <x:row r="36">
      <x:c r="A36" s="61" t="str">
        <x:f>IF(B36="","","TL-"&amp;TEXT(ROW()-4,"0000"))</x:f>
      </x:c>
      <x:c r="B36" s="79" t="n"/>
      <x:c r="C36" s="61" t="n"/>
      <x:c r="D36" s="63" t="n"/>
      <x:c r="E36" s="61" t="n"/>
      <x:c r="F36" s="61" t="n"/>
      <x:c r="G36" s="61" t="n"/>
      <x:c r="H36" s="61" t="n"/>
      <x:c r="I36" s="61" t="n"/>
      <x:c r="J36" s="61" t="n"/>
      <x:c r="K36" s="61" t="n"/>
      <x:c r="L36" s="63" t="str">
        <x:f>IF(B36="","",173.33)</x:f>
      </x:c>
      <x:c r="M36" s="63" t="str">
        <x:f>IF(OR(D36="",L36=""),"",D36/L36)</x:f>
      </x:c>
      <x:c r="N36" s="82" t="n"/>
      <x:c r="O36" s="82" t="str">
        <x:f>IF(OR(M36="",N36=""),"",M36*N36)</x:f>
      </x:c>
      <x:c r="P36" s="82" t="str">
        <x:f>IF(B36="","",6732)</x:f>
      </x:c>
      <x:c r="Q36" s="82" t="str">
        <x:f>IF(OR(D36="",P36=""),"",D36*P36)</x:f>
      </x:c>
      <x:c r="R36" s="61" t="n"/>
      <x:c r="S36" s="61" t="n"/>
      <x:c r="T36" s="79" t="n"/>
      <x:c r="U36" s="61" t="n"/>
    </x:row>
    <x:row r="37">
      <x:c r="A37" s="56" t="str">
        <x:f>IF(B37="","","TL-"&amp;TEXT(ROW()-4,"0000"))</x:f>
      </x:c>
      <x:c r="B37" s="74" t="n"/>
      <x:c r="C37" s="56" t="n"/>
      <x:c r="D37" s="58" t="n"/>
      <x:c r="E37" s="56" t="n"/>
      <x:c r="F37" s="56" t="n"/>
      <x:c r="G37" s="56" t="n"/>
      <x:c r="H37" s="56" t="n"/>
      <x:c r="I37" s="56" t="n"/>
      <x:c r="J37" s="56" t="n"/>
      <x:c r="K37" s="56" t="n"/>
      <x:c r="L37" s="58" t="str">
        <x:f>IF(B37="","",173.33)</x:f>
      </x:c>
      <x:c r="M37" s="58" t="str">
        <x:f>IF(OR(D37="",L37=""),"",D37/L37)</x:f>
      </x:c>
      <x:c r="N37" s="76" t="n"/>
      <x:c r="O37" s="76" t="str">
        <x:f>IF(OR(M37="",N37=""),"",M37*N37)</x:f>
      </x:c>
      <x:c r="P37" s="76" t="str">
        <x:f>IF(B37="","",6732)</x:f>
      </x:c>
      <x:c r="Q37" s="76" t="str">
        <x:f>IF(OR(D37="",P37=""),"",D37*P37)</x:f>
      </x:c>
      <x:c r="R37" s="56" t="n"/>
      <x:c r="S37" s="56" t="n"/>
      <x:c r="T37" s="74" t="n"/>
      <x:c r="U37" s="56" t="n"/>
    </x:row>
    <x:row r="38">
      <x:c r="A38" s="61" t="str">
        <x:f>IF(B38="","","TL-"&amp;TEXT(ROW()-4,"0000"))</x:f>
      </x:c>
      <x:c r="B38" s="79" t="n"/>
      <x:c r="C38" s="61" t="n"/>
      <x:c r="D38" s="63" t="n"/>
      <x:c r="E38" s="61" t="n"/>
      <x:c r="F38" s="61" t="n"/>
      <x:c r="G38" s="61" t="n"/>
      <x:c r="H38" s="61" t="n"/>
      <x:c r="I38" s="61" t="n"/>
      <x:c r="J38" s="61" t="n"/>
      <x:c r="K38" s="61" t="n"/>
      <x:c r="L38" s="63" t="str">
        <x:f>IF(B38="","",173.33)</x:f>
      </x:c>
      <x:c r="M38" s="63" t="str">
        <x:f>IF(OR(D38="",L38=""),"",D38/L38)</x:f>
      </x:c>
      <x:c r="N38" s="82" t="n"/>
      <x:c r="O38" s="82" t="str">
        <x:f>IF(OR(M38="",N38=""),"",M38*N38)</x:f>
      </x:c>
      <x:c r="P38" s="82" t="str">
        <x:f>IF(B38="","",6732)</x:f>
      </x:c>
      <x:c r="Q38" s="82" t="str">
        <x:f>IF(OR(D38="",P38=""),"",D38*P38)</x:f>
      </x:c>
      <x:c r="R38" s="61" t="n"/>
      <x:c r="S38" s="61" t="n"/>
      <x:c r="T38" s="79" t="n"/>
      <x:c r="U38" s="61" t="n"/>
    </x:row>
    <x:row r="39">
      <x:c r="A39" s="56" t="str">
        <x:f>IF(B39="","","TL-"&amp;TEXT(ROW()-4,"0000"))</x:f>
      </x:c>
      <x:c r="B39" s="74" t="n"/>
      <x:c r="C39" s="56" t="n"/>
      <x:c r="D39" s="58" t="n"/>
      <x:c r="E39" s="56" t="n"/>
      <x:c r="F39" s="56" t="n"/>
      <x:c r="G39" s="56" t="n"/>
      <x:c r="H39" s="56" t="n"/>
      <x:c r="I39" s="56" t="n"/>
      <x:c r="J39" s="56" t="n"/>
      <x:c r="K39" s="56" t="n"/>
      <x:c r="L39" s="58" t="str">
        <x:f>IF(B39="","",173.33)</x:f>
      </x:c>
      <x:c r="M39" s="58" t="str">
        <x:f>IF(OR(D39="",L39=""),"",D39/L39)</x:f>
      </x:c>
      <x:c r="N39" s="76" t="n"/>
      <x:c r="O39" s="76" t="str">
        <x:f>IF(OR(M39="",N39=""),"",M39*N39)</x:f>
      </x:c>
      <x:c r="P39" s="76" t="str">
        <x:f>IF(B39="","",6732)</x:f>
      </x:c>
      <x:c r="Q39" s="76" t="str">
        <x:f>IF(OR(D39="",P39=""),"",D39*P39)</x:f>
      </x:c>
      <x:c r="R39" s="56" t="n"/>
      <x:c r="S39" s="56" t="n"/>
      <x:c r="T39" s="74" t="n"/>
      <x:c r="U39" s="56" t="n"/>
    </x:row>
    <x:row r="40">
      <x:c r="A40" s="61" t="str">
        <x:f>IF(B40="","","TL-"&amp;TEXT(ROW()-4,"0000"))</x:f>
      </x:c>
      <x:c r="B40" s="79" t="n"/>
      <x:c r="C40" s="61" t="n"/>
      <x:c r="D40" s="63" t="n"/>
      <x:c r="E40" s="61" t="n"/>
      <x:c r="F40" s="61" t="n"/>
      <x:c r="G40" s="61" t="n"/>
      <x:c r="H40" s="61" t="n"/>
      <x:c r="I40" s="61" t="n"/>
      <x:c r="J40" s="61" t="n"/>
      <x:c r="K40" s="61" t="n"/>
      <x:c r="L40" s="63" t="str">
        <x:f>IF(B40="","",173.33)</x:f>
      </x:c>
      <x:c r="M40" s="63" t="str">
        <x:f>IF(OR(D40="",L40=""),"",D40/L40)</x:f>
      </x:c>
      <x:c r="N40" s="82" t="n"/>
      <x:c r="O40" s="82" t="str">
        <x:f>IF(OR(M40="",N40=""),"",M40*N40)</x:f>
      </x:c>
      <x:c r="P40" s="82" t="str">
        <x:f>IF(B40="","",6732)</x:f>
      </x:c>
      <x:c r="Q40" s="82" t="str">
        <x:f>IF(OR(D40="",P40=""),"",D40*P40)</x:f>
      </x:c>
      <x:c r="R40" s="61" t="n"/>
      <x:c r="S40" s="61" t="n"/>
      <x:c r="T40" s="79" t="n"/>
      <x:c r="U40" s="61" t="n"/>
    </x:row>
    <x:row r="41">
      <x:c r="A41" s="56" t="str">
        <x:f>IF(B41="","","TL-"&amp;TEXT(ROW()-4,"0000"))</x:f>
      </x:c>
      <x:c r="B41" s="74" t="n"/>
      <x:c r="C41" s="56" t="n"/>
      <x:c r="D41" s="58" t="n"/>
      <x:c r="E41" s="56" t="n"/>
      <x:c r="F41" s="56" t="n"/>
      <x:c r="G41" s="56" t="n"/>
      <x:c r="H41" s="56" t="n"/>
      <x:c r="I41" s="56" t="n"/>
      <x:c r="J41" s="56" t="n"/>
      <x:c r="K41" s="56" t="n"/>
      <x:c r="L41" s="58" t="str">
        <x:f>IF(B41="","",173.33)</x:f>
      </x:c>
      <x:c r="M41" s="58" t="str">
        <x:f>IF(OR(D41="",L41=""),"",D41/L41)</x:f>
      </x:c>
      <x:c r="N41" s="76" t="n"/>
      <x:c r="O41" s="76" t="str">
        <x:f>IF(OR(M41="",N41=""),"",M41*N41)</x:f>
      </x:c>
      <x:c r="P41" s="76" t="str">
        <x:f>IF(B41="","",6732)</x:f>
      </x:c>
      <x:c r="Q41" s="76" t="str">
        <x:f>IF(OR(D41="",P41=""),"",D41*P41)</x:f>
      </x:c>
      <x:c r="R41" s="56" t="n"/>
      <x:c r="S41" s="56" t="n"/>
      <x:c r="T41" s="74" t="n"/>
      <x:c r="U41" s="56" t="n"/>
    </x:row>
    <x:row r="42">
      <x:c r="A42" s="61" t="str">
        <x:f>IF(B42="","","TL-"&amp;TEXT(ROW()-4,"0000"))</x:f>
      </x:c>
      <x:c r="B42" s="79" t="n"/>
      <x:c r="C42" s="61" t="n"/>
      <x:c r="D42" s="63" t="n"/>
      <x:c r="E42" s="61" t="n"/>
      <x:c r="F42" s="61" t="n"/>
      <x:c r="G42" s="61" t="n"/>
      <x:c r="H42" s="61" t="n"/>
      <x:c r="I42" s="61" t="n"/>
      <x:c r="J42" s="61" t="n"/>
      <x:c r="K42" s="61" t="n"/>
      <x:c r="L42" s="63" t="str">
        <x:f>IF(B42="","",173.33)</x:f>
      </x:c>
      <x:c r="M42" s="63" t="str">
        <x:f>IF(OR(D42="",L42=""),"",D42/L42)</x:f>
      </x:c>
      <x:c r="N42" s="82" t="n"/>
      <x:c r="O42" s="82" t="str">
        <x:f>IF(OR(M42="",N42=""),"",M42*N42)</x:f>
      </x:c>
      <x:c r="P42" s="82" t="str">
        <x:f>IF(B42="","",6732)</x:f>
      </x:c>
      <x:c r="Q42" s="82" t="str">
        <x:f>IF(OR(D42="",P42=""),"",D42*P42)</x:f>
      </x:c>
      <x:c r="R42" s="61" t="n"/>
      <x:c r="S42" s="61" t="n"/>
      <x:c r="T42" s="79" t="n"/>
      <x:c r="U42" s="61" t="n"/>
    </x:row>
    <x:row r="43">
      <x:c r="A43" s="56" t="str">
        <x:f>IF(B43="","","TL-"&amp;TEXT(ROW()-4,"0000"))</x:f>
      </x:c>
      <x:c r="B43" s="74" t="n"/>
      <x:c r="C43" s="56" t="n"/>
      <x:c r="D43" s="58" t="n"/>
      <x:c r="E43" s="56" t="n"/>
      <x:c r="F43" s="56" t="n"/>
      <x:c r="G43" s="56" t="n"/>
      <x:c r="H43" s="56" t="n"/>
      <x:c r="I43" s="56" t="n"/>
      <x:c r="J43" s="56" t="n"/>
      <x:c r="K43" s="56" t="n"/>
      <x:c r="L43" s="58" t="str">
        <x:f>IF(B43="","",173.33)</x:f>
      </x:c>
      <x:c r="M43" s="58" t="str">
        <x:f>IF(OR(D43="",L43=""),"",D43/L43)</x:f>
      </x:c>
      <x:c r="N43" s="76" t="n"/>
      <x:c r="O43" s="76" t="str">
        <x:f>IF(OR(M43="",N43=""),"",M43*N43)</x:f>
      </x:c>
      <x:c r="P43" s="76" t="str">
        <x:f>IF(B43="","",6732)</x:f>
      </x:c>
      <x:c r="Q43" s="76" t="str">
        <x:f>IF(OR(D43="",P43=""),"",D43*P43)</x:f>
      </x:c>
      <x:c r="R43" s="56" t="n"/>
      <x:c r="S43" s="56" t="n"/>
      <x:c r="T43" s="74" t="n"/>
      <x:c r="U43" s="56" t="n"/>
    </x:row>
    <x:row r="44">
      <x:c r="A44" s="61" t="str">
        <x:f>IF(B44="","","TL-"&amp;TEXT(ROW()-4,"0000"))</x:f>
      </x:c>
      <x:c r="B44" s="79" t="n"/>
      <x:c r="C44" s="61" t="n"/>
      <x:c r="D44" s="63" t="n"/>
      <x:c r="E44" s="61" t="n"/>
      <x:c r="F44" s="61" t="n"/>
      <x:c r="G44" s="61" t="n"/>
      <x:c r="H44" s="61" t="n"/>
      <x:c r="I44" s="61" t="n"/>
      <x:c r="J44" s="61" t="n"/>
      <x:c r="K44" s="61" t="n"/>
      <x:c r="L44" s="63" t="str">
        <x:f>IF(B44="","",173.33)</x:f>
      </x:c>
      <x:c r="M44" s="63" t="str">
        <x:f>IF(OR(D44="",L44=""),"",D44/L44)</x:f>
      </x:c>
      <x:c r="N44" s="82" t="n"/>
      <x:c r="O44" s="82" t="str">
        <x:f>IF(OR(M44="",N44=""),"",M44*N44)</x:f>
      </x:c>
      <x:c r="P44" s="82" t="str">
        <x:f>IF(B44="","",6732)</x:f>
      </x:c>
      <x:c r="Q44" s="82" t="str">
        <x:f>IF(OR(D44="",P44=""),"",D44*P44)</x:f>
      </x:c>
      <x:c r="R44" s="61" t="n"/>
      <x:c r="S44" s="61" t="n"/>
      <x:c r="T44" s="79" t="n"/>
      <x:c r="U44" s="61" t="n"/>
    </x:row>
    <x:row r="45">
      <x:c r="A45" s="56" t="str">
        <x:f>IF(B45="","","TL-"&amp;TEXT(ROW()-4,"0000"))</x:f>
      </x:c>
      <x:c r="B45" s="74" t="n"/>
      <x:c r="C45" s="56" t="n"/>
      <x:c r="D45" s="58" t="n"/>
      <x:c r="E45" s="56" t="n"/>
      <x:c r="F45" s="56" t="n"/>
      <x:c r="G45" s="56" t="n"/>
      <x:c r="H45" s="56" t="n"/>
      <x:c r="I45" s="56" t="n"/>
      <x:c r="J45" s="56" t="n"/>
      <x:c r="K45" s="56" t="n"/>
      <x:c r="L45" s="58" t="str">
        <x:f>IF(B45="","",173.33)</x:f>
      </x:c>
      <x:c r="M45" s="58" t="str">
        <x:f>IF(OR(D45="",L45=""),"",D45/L45)</x:f>
      </x:c>
      <x:c r="N45" s="76" t="n"/>
      <x:c r="O45" s="76" t="str">
        <x:f>IF(OR(M45="",N45=""),"",M45*N45)</x:f>
      </x:c>
      <x:c r="P45" s="76" t="str">
        <x:f>IF(B45="","",6732)</x:f>
      </x:c>
      <x:c r="Q45" s="76" t="str">
        <x:f>IF(OR(D45="",P45=""),"",D45*P45)</x:f>
      </x:c>
      <x:c r="R45" s="56" t="n"/>
      <x:c r="S45" s="56" t="n"/>
      <x:c r="T45" s="74" t="n"/>
      <x:c r="U45" s="56" t="n"/>
    </x:row>
    <x:row r="46">
      <x:c r="A46" s="61" t="str">
        <x:f>IF(B46="","","TL-"&amp;TEXT(ROW()-4,"0000"))</x:f>
      </x:c>
      <x:c r="B46" s="79" t="n"/>
      <x:c r="C46" s="61" t="n"/>
      <x:c r="D46" s="63" t="n"/>
      <x:c r="E46" s="61" t="n"/>
      <x:c r="F46" s="61" t="n"/>
      <x:c r="G46" s="61" t="n"/>
      <x:c r="H46" s="61" t="n"/>
      <x:c r="I46" s="61" t="n"/>
      <x:c r="J46" s="61" t="n"/>
      <x:c r="K46" s="61" t="n"/>
      <x:c r="L46" s="63" t="str">
        <x:f>IF(B46="","",173.33)</x:f>
      </x:c>
      <x:c r="M46" s="63" t="str">
        <x:f>IF(OR(D46="",L46=""),"",D46/L46)</x:f>
      </x:c>
      <x:c r="N46" s="82" t="n"/>
      <x:c r="O46" s="82" t="str">
        <x:f>IF(OR(M46="",N46=""),"",M46*N46)</x:f>
      </x:c>
      <x:c r="P46" s="82" t="str">
        <x:f>IF(B46="","",6732)</x:f>
      </x:c>
      <x:c r="Q46" s="82" t="str">
        <x:f>IF(OR(D46="",P46=""),"",D46*P46)</x:f>
      </x:c>
      <x:c r="R46" s="61" t="n"/>
      <x:c r="S46" s="61" t="n"/>
      <x:c r="T46" s="79" t="n"/>
      <x:c r="U46" s="61" t="n"/>
    </x:row>
    <x:row r="47">
      <x:c r="A47" s="56" t="str">
        <x:f>IF(B47="","","TL-"&amp;TEXT(ROW()-4,"0000"))</x:f>
      </x:c>
      <x:c r="B47" s="74" t="n"/>
      <x:c r="C47" s="56" t="n"/>
      <x:c r="D47" s="58" t="n"/>
      <x:c r="E47" s="56" t="n"/>
      <x:c r="F47" s="56" t="n"/>
      <x:c r="G47" s="56" t="n"/>
      <x:c r="H47" s="56" t="n"/>
      <x:c r="I47" s="56" t="n"/>
      <x:c r="J47" s="56" t="n"/>
      <x:c r="K47" s="56" t="n"/>
      <x:c r="L47" s="58" t="str">
        <x:f>IF(B47="","",173.33)</x:f>
      </x:c>
      <x:c r="M47" s="58" t="str">
        <x:f>IF(OR(D47="",L47=""),"",D47/L47)</x:f>
      </x:c>
      <x:c r="N47" s="76" t="n"/>
      <x:c r="O47" s="76" t="str">
        <x:f>IF(OR(M47="",N47=""),"",M47*N47)</x:f>
      </x:c>
      <x:c r="P47" s="76" t="str">
        <x:f>IF(B47="","",6732)</x:f>
      </x:c>
      <x:c r="Q47" s="76" t="str">
        <x:f>IF(OR(D47="",P47=""),"",D47*P47)</x:f>
      </x:c>
      <x:c r="R47" s="56" t="n"/>
      <x:c r="S47" s="56" t="n"/>
      <x:c r="T47" s="74" t="n"/>
      <x:c r="U47" s="56" t="n"/>
    </x:row>
    <x:row r="48">
      <x:c r="A48" s="61" t="str">
        <x:f>IF(B48="","","TL-"&amp;TEXT(ROW()-4,"0000"))</x:f>
      </x:c>
      <x:c r="B48" s="79" t="n"/>
      <x:c r="C48" s="61" t="n"/>
      <x:c r="D48" s="63" t="n"/>
      <x:c r="E48" s="61" t="n"/>
      <x:c r="F48" s="61" t="n"/>
      <x:c r="G48" s="61" t="n"/>
      <x:c r="H48" s="61" t="n"/>
      <x:c r="I48" s="61" t="n"/>
      <x:c r="J48" s="61" t="n"/>
      <x:c r="K48" s="61" t="n"/>
      <x:c r="L48" s="63" t="str">
        <x:f>IF(B48="","",173.33)</x:f>
      </x:c>
      <x:c r="M48" s="63" t="str">
        <x:f>IF(OR(D48="",L48=""),"",D48/L48)</x:f>
      </x:c>
      <x:c r="N48" s="82" t="n"/>
      <x:c r="O48" s="82" t="str">
        <x:f>IF(OR(M48="",N48=""),"",M48*N48)</x:f>
      </x:c>
      <x:c r="P48" s="82" t="str">
        <x:f>IF(B48="","",6732)</x:f>
      </x:c>
      <x:c r="Q48" s="82" t="str">
        <x:f>IF(OR(D48="",P48=""),"",D48*P48)</x:f>
      </x:c>
      <x:c r="R48" s="61" t="n"/>
      <x:c r="S48" s="61" t="n"/>
      <x:c r="T48" s="79" t="n"/>
      <x:c r="U48" s="61" t="n"/>
    </x:row>
    <x:row r="49">
      <x:c r="A49" s="56" t="str">
        <x:f>IF(B49="","","TL-"&amp;TEXT(ROW()-4,"0000"))</x:f>
      </x:c>
      <x:c r="B49" s="74" t="n"/>
      <x:c r="C49" s="56" t="n"/>
      <x:c r="D49" s="58" t="n"/>
      <x:c r="E49" s="56" t="n"/>
      <x:c r="F49" s="56" t="n"/>
      <x:c r="G49" s="56" t="n"/>
      <x:c r="H49" s="56" t="n"/>
      <x:c r="I49" s="56" t="n"/>
      <x:c r="J49" s="56" t="n"/>
      <x:c r="K49" s="56" t="n"/>
      <x:c r="L49" s="58" t="str">
        <x:f>IF(B49="","",173.33)</x:f>
      </x:c>
      <x:c r="M49" s="58" t="str">
        <x:f>IF(OR(D49="",L49=""),"",D49/L49)</x:f>
      </x:c>
      <x:c r="N49" s="76" t="n"/>
      <x:c r="O49" s="76" t="str">
        <x:f>IF(OR(M49="",N49=""),"",M49*N49)</x:f>
      </x:c>
      <x:c r="P49" s="76" t="str">
        <x:f>IF(B49="","",6732)</x:f>
      </x:c>
      <x:c r="Q49" s="76" t="str">
        <x:f>IF(OR(D49="",P49=""),"",D49*P49)</x:f>
      </x:c>
      <x:c r="R49" s="56" t="n"/>
      <x:c r="S49" s="56" t="n"/>
      <x:c r="T49" s="74" t="n"/>
      <x:c r="U49" s="56" t="n"/>
    </x:row>
    <x:row r="50">
      <x:c r="A50" s="61" t="str">
        <x:f>IF(B50="","","TL-"&amp;TEXT(ROW()-4,"0000"))</x:f>
      </x:c>
      <x:c r="B50" s="79" t="n"/>
      <x:c r="C50" s="61" t="n"/>
      <x:c r="D50" s="63" t="n"/>
      <x:c r="E50" s="61" t="n"/>
      <x:c r="F50" s="61" t="n"/>
      <x:c r="G50" s="61" t="n"/>
      <x:c r="H50" s="61" t="n"/>
      <x:c r="I50" s="61" t="n"/>
      <x:c r="J50" s="61" t="n"/>
      <x:c r="K50" s="61" t="n"/>
      <x:c r="L50" s="63" t="str">
        <x:f>IF(B50="","",173.33)</x:f>
      </x:c>
      <x:c r="M50" s="63" t="str">
        <x:f>IF(OR(D50="",L50=""),"",D50/L50)</x:f>
      </x:c>
      <x:c r="N50" s="82" t="n"/>
      <x:c r="O50" s="82" t="str">
        <x:f>IF(OR(M50="",N50=""),"",M50*N50)</x:f>
      </x:c>
      <x:c r="P50" s="82" t="str">
        <x:f>IF(B50="","",6732)</x:f>
      </x:c>
      <x:c r="Q50" s="82" t="str">
        <x:f>IF(OR(D50="",P50=""),"",D50*P50)</x:f>
      </x:c>
      <x:c r="R50" s="61" t="n"/>
      <x:c r="S50" s="61" t="n"/>
      <x:c r="T50" s="79" t="n"/>
      <x:c r="U50" s="61" t="n"/>
    </x:row>
    <x:row r="51">
      <x:c r="A51" s="56" t="str">
        <x:f>IF(B51="","","TL-"&amp;TEXT(ROW()-4,"0000"))</x:f>
      </x:c>
      <x:c r="B51" s="74" t="n"/>
      <x:c r="C51" s="56" t="n"/>
      <x:c r="D51" s="58" t="n"/>
      <x:c r="E51" s="56" t="n"/>
      <x:c r="F51" s="56" t="n"/>
      <x:c r="G51" s="56" t="n"/>
      <x:c r="H51" s="56" t="n"/>
      <x:c r="I51" s="56" t="n"/>
      <x:c r="J51" s="56" t="n"/>
      <x:c r="K51" s="56" t="n"/>
      <x:c r="L51" s="58" t="str">
        <x:f>IF(B51="","",173.33)</x:f>
      </x:c>
      <x:c r="M51" s="58" t="str">
        <x:f>IF(OR(D51="",L51=""),"",D51/L51)</x:f>
      </x:c>
      <x:c r="N51" s="76" t="n"/>
      <x:c r="O51" s="76" t="str">
        <x:f>IF(OR(M51="",N51=""),"",M51*N51)</x:f>
      </x:c>
      <x:c r="P51" s="76" t="str">
        <x:f>IF(B51="","",6732)</x:f>
      </x:c>
      <x:c r="Q51" s="76" t="str">
        <x:f>IF(OR(D51="",P51=""),"",D51*P51)</x:f>
      </x:c>
      <x:c r="R51" s="56" t="n"/>
      <x:c r="S51" s="56" t="n"/>
      <x:c r="T51" s="74" t="n"/>
      <x:c r="U51" s="56" t="n"/>
    </x:row>
    <x:row r="52">
      <x:c r="A52" s="61" t="str">
        <x:f>IF(B52="","","TL-"&amp;TEXT(ROW()-4,"0000"))</x:f>
      </x:c>
      <x:c r="B52" s="79" t="n"/>
      <x:c r="C52" s="61" t="n"/>
      <x:c r="D52" s="63" t="n"/>
      <x:c r="E52" s="61" t="n"/>
      <x:c r="F52" s="61" t="n"/>
      <x:c r="G52" s="61" t="n"/>
      <x:c r="H52" s="61" t="n"/>
      <x:c r="I52" s="61" t="n"/>
      <x:c r="J52" s="61" t="n"/>
      <x:c r="K52" s="61" t="n"/>
      <x:c r="L52" s="63" t="str">
        <x:f>IF(B52="","",173.33)</x:f>
      </x:c>
      <x:c r="M52" s="63" t="str">
        <x:f>IF(OR(D52="",L52=""),"",D52/L52)</x:f>
      </x:c>
      <x:c r="N52" s="82" t="n"/>
      <x:c r="O52" s="82" t="str">
        <x:f>IF(OR(M52="",N52=""),"",M52*N52)</x:f>
      </x:c>
      <x:c r="P52" s="82" t="str">
        <x:f>IF(B52="","",6732)</x:f>
      </x:c>
      <x:c r="Q52" s="82" t="str">
        <x:f>IF(OR(D52="",P52=""),"",D52*P52)</x:f>
      </x:c>
      <x:c r="R52" s="61" t="n"/>
      <x:c r="S52" s="61" t="n"/>
      <x:c r="T52" s="79" t="n"/>
      <x:c r="U52" s="61" t="n"/>
    </x:row>
    <x:row r="53">
      <x:c r="A53" s="56" t="str">
        <x:f>IF(B53="","","TL-"&amp;TEXT(ROW()-4,"0000"))</x:f>
      </x:c>
      <x:c r="B53" s="74" t="n"/>
      <x:c r="C53" s="56" t="n"/>
      <x:c r="D53" s="58" t="n"/>
      <x:c r="E53" s="56" t="n"/>
      <x:c r="F53" s="56" t="n"/>
      <x:c r="G53" s="56" t="n"/>
      <x:c r="H53" s="56" t="n"/>
      <x:c r="I53" s="56" t="n"/>
      <x:c r="J53" s="56" t="n"/>
      <x:c r="K53" s="56" t="n"/>
      <x:c r="L53" s="58" t="str">
        <x:f>IF(B53="","",173.33)</x:f>
      </x:c>
      <x:c r="M53" s="58" t="str">
        <x:f>IF(OR(D53="",L53=""),"",D53/L53)</x:f>
      </x:c>
      <x:c r="N53" s="76" t="n"/>
      <x:c r="O53" s="76" t="str">
        <x:f>IF(OR(M53="",N53=""),"",M53*N53)</x:f>
      </x:c>
      <x:c r="P53" s="76" t="str">
        <x:f>IF(B53="","",6732)</x:f>
      </x:c>
      <x:c r="Q53" s="76" t="str">
        <x:f>IF(OR(D53="",P53=""),"",D53*P53)</x:f>
      </x:c>
      <x:c r="R53" s="56" t="n"/>
      <x:c r="S53" s="56" t="n"/>
      <x:c r="T53" s="74" t="n"/>
      <x:c r="U53" s="56" t="n"/>
    </x:row>
    <x:row r="54">
      <x:c r="A54" s="61" t="str">
        <x:f>IF(B54="","","TL-"&amp;TEXT(ROW()-4,"0000"))</x:f>
      </x:c>
      <x:c r="B54" s="79" t="n"/>
      <x:c r="C54" s="61" t="n"/>
      <x:c r="D54" s="63" t="n"/>
      <x:c r="E54" s="61" t="n"/>
      <x:c r="F54" s="61" t="n"/>
      <x:c r="G54" s="61" t="n"/>
      <x:c r="H54" s="61" t="n"/>
      <x:c r="I54" s="61" t="n"/>
      <x:c r="J54" s="61" t="n"/>
      <x:c r="K54" s="61" t="n"/>
      <x:c r="L54" s="63" t="str">
        <x:f>IF(B54="","",173.33)</x:f>
      </x:c>
      <x:c r="M54" s="63" t="str">
        <x:f>IF(OR(D54="",L54=""),"",D54/L54)</x:f>
      </x:c>
      <x:c r="N54" s="82" t="n"/>
      <x:c r="O54" s="82" t="str">
        <x:f>IF(OR(M54="",N54=""),"",M54*N54)</x:f>
      </x:c>
      <x:c r="P54" s="82" t="str">
        <x:f>IF(B54="","",6732)</x:f>
      </x:c>
      <x:c r="Q54" s="82" t="str">
        <x:f>IF(OR(D54="",P54=""),"",D54*P54)</x:f>
      </x:c>
      <x:c r="R54" s="61" t="n"/>
      <x:c r="S54" s="61" t="n"/>
      <x:c r="T54" s="79" t="n"/>
      <x:c r="U54" s="61" t="n"/>
    </x:row>
    <x:row r="55">
      <x:c r="A55" s="56" t="str">
        <x:f>IF(B55="","","TL-"&amp;TEXT(ROW()-4,"0000"))</x:f>
      </x:c>
      <x:c r="B55" s="74" t="n"/>
      <x:c r="C55" s="56" t="n"/>
      <x:c r="D55" s="58" t="n"/>
      <x:c r="E55" s="56" t="n"/>
      <x:c r="F55" s="56" t="n"/>
      <x:c r="G55" s="56" t="n"/>
      <x:c r="H55" s="56" t="n"/>
      <x:c r="I55" s="56" t="n"/>
      <x:c r="J55" s="56" t="n"/>
      <x:c r="K55" s="56" t="n"/>
      <x:c r="L55" s="58" t="str">
        <x:f>IF(B55="","",173.33)</x:f>
      </x:c>
      <x:c r="M55" s="58" t="str">
        <x:f>IF(OR(D55="",L55=""),"",D55/L55)</x:f>
      </x:c>
      <x:c r="N55" s="76" t="n"/>
      <x:c r="O55" s="76" t="str">
        <x:f>IF(OR(M55="",N55=""),"",M55*N55)</x:f>
      </x:c>
      <x:c r="P55" s="76" t="str">
        <x:f>IF(B55="","",6732)</x:f>
      </x:c>
      <x:c r="Q55" s="76" t="str">
        <x:f>IF(OR(D55="",P55=""),"",D55*P55)</x:f>
      </x:c>
      <x:c r="R55" s="56" t="n"/>
      <x:c r="S55" s="56" t="n"/>
      <x:c r="T55" s="74" t="n"/>
      <x:c r="U55" s="56" t="n"/>
    </x:row>
    <x:row r="56">
      <x:c r="A56" s="61" t="str">
        <x:f>IF(B56="","","TL-"&amp;TEXT(ROW()-4,"0000"))</x:f>
      </x:c>
      <x:c r="B56" s="79" t="n"/>
      <x:c r="C56" s="61" t="n"/>
      <x:c r="D56" s="63" t="n"/>
      <x:c r="E56" s="61" t="n"/>
      <x:c r="F56" s="61" t="n"/>
      <x:c r="G56" s="61" t="n"/>
      <x:c r="H56" s="61" t="n"/>
      <x:c r="I56" s="61" t="n"/>
      <x:c r="J56" s="61" t="n"/>
      <x:c r="K56" s="61" t="n"/>
      <x:c r="L56" s="63" t="str">
        <x:f>IF(B56="","",173.33)</x:f>
      </x:c>
      <x:c r="M56" s="63" t="str">
        <x:f>IF(OR(D56="",L56=""),"",D56/L56)</x:f>
      </x:c>
      <x:c r="N56" s="82" t="n"/>
      <x:c r="O56" s="82" t="str">
        <x:f>IF(OR(M56="",N56=""),"",M56*N56)</x:f>
      </x:c>
      <x:c r="P56" s="82" t="str">
        <x:f>IF(B56="","",6732)</x:f>
      </x:c>
      <x:c r="Q56" s="82" t="str">
        <x:f>IF(OR(D56="",P56=""),"",D56*P56)</x:f>
      </x:c>
      <x:c r="R56" s="61" t="n"/>
      <x:c r="S56" s="61" t="n"/>
      <x:c r="T56" s="79" t="n"/>
      <x:c r="U56" s="61" t="n"/>
    </x:row>
    <x:row r="57">
      <x:c r="A57" s="56" t="str">
        <x:f>IF(B57="","","TL-"&amp;TEXT(ROW()-4,"0000"))</x:f>
      </x:c>
      <x:c r="B57" s="74" t="n"/>
      <x:c r="C57" s="56" t="n"/>
      <x:c r="D57" s="58" t="n"/>
      <x:c r="E57" s="56" t="n"/>
      <x:c r="F57" s="56" t="n"/>
      <x:c r="G57" s="56" t="n"/>
      <x:c r="H57" s="56" t="n"/>
      <x:c r="I57" s="56" t="n"/>
      <x:c r="J57" s="56" t="n"/>
      <x:c r="K57" s="56" t="n"/>
      <x:c r="L57" s="58" t="str">
        <x:f>IF(B57="","",173.33)</x:f>
      </x:c>
      <x:c r="M57" s="58" t="str">
        <x:f>IF(OR(D57="",L57=""),"",D57/L57)</x:f>
      </x:c>
      <x:c r="N57" s="76" t="n"/>
      <x:c r="O57" s="76" t="str">
        <x:f>IF(OR(M57="",N57=""),"",M57*N57)</x:f>
      </x:c>
      <x:c r="P57" s="76" t="str">
        <x:f>IF(B57="","",6732)</x:f>
      </x:c>
      <x:c r="Q57" s="76" t="str">
        <x:f>IF(OR(D57="",P57=""),"",D57*P57)</x:f>
      </x:c>
      <x:c r="R57" s="56" t="n"/>
      <x:c r="S57" s="56" t="n"/>
      <x:c r="T57" s="74" t="n"/>
      <x:c r="U57" s="56" t="n"/>
    </x:row>
    <x:row r="58">
      <x:c r="A58" s="61" t="str">
        <x:f>IF(B58="","","TL-"&amp;TEXT(ROW()-4,"0000"))</x:f>
      </x:c>
      <x:c r="B58" s="79" t="n"/>
      <x:c r="C58" s="61" t="n"/>
      <x:c r="D58" s="63" t="n"/>
      <x:c r="E58" s="61" t="n"/>
      <x:c r="F58" s="61" t="n"/>
      <x:c r="G58" s="61" t="n"/>
      <x:c r="H58" s="61" t="n"/>
      <x:c r="I58" s="61" t="n"/>
      <x:c r="J58" s="61" t="n"/>
      <x:c r="K58" s="61" t="n"/>
      <x:c r="L58" s="63" t="str">
        <x:f>IF(B58="","",173.33)</x:f>
      </x:c>
      <x:c r="M58" s="63" t="str">
        <x:f>IF(OR(D58="",L58=""),"",D58/L58)</x:f>
      </x:c>
      <x:c r="N58" s="82" t="n"/>
      <x:c r="O58" s="82" t="str">
        <x:f>IF(OR(M58="",N58=""),"",M58*N58)</x:f>
      </x:c>
      <x:c r="P58" s="82" t="str">
        <x:f>IF(B58="","",6732)</x:f>
      </x:c>
      <x:c r="Q58" s="82" t="str">
        <x:f>IF(OR(D58="",P58=""),"",D58*P58)</x:f>
      </x:c>
      <x:c r="R58" s="61" t="n"/>
      <x:c r="S58" s="61" t="n"/>
      <x:c r="T58" s="79" t="n"/>
      <x:c r="U58" s="61" t="n"/>
    </x:row>
    <x:row r="59">
      <x:c r="A59" s="56" t="str">
        <x:f>IF(B59="","","TL-"&amp;TEXT(ROW()-4,"0000"))</x:f>
      </x:c>
      <x:c r="B59" s="74" t="n"/>
      <x:c r="C59" s="56" t="n"/>
      <x:c r="D59" s="58" t="n"/>
      <x:c r="E59" s="56" t="n"/>
      <x:c r="F59" s="56" t="n"/>
      <x:c r="G59" s="56" t="n"/>
      <x:c r="H59" s="56" t="n"/>
      <x:c r="I59" s="56" t="n"/>
      <x:c r="J59" s="56" t="n"/>
      <x:c r="K59" s="56" t="n"/>
      <x:c r="L59" s="58" t="str">
        <x:f>IF(B59="","",173.33)</x:f>
      </x:c>
      <x:c r="M59" s="58" t="str">
        <x:f>IF(OR(D59="",L59=""),"",D59/L59)</x:f>
      </x:c>
      <x:c r="N59" s="76" t="n"/>
      <x:c r="O59" s="76" t="str">
        <x:f>IF(OR(M59="",N59=""),"",M59*N59)</x:f>
      </x:c>
      <x:c r="P59" s="76" t="str">
        <x:f>IF(B59="","",6732)</x:f>
      </x:c>
      <x:c r="Q59" s="76" t="str">
        <x:f>IF(OR(D59="",P59=""),"",D59*P59)</x:f>
      </x:c>
      <x:c r="R59" s="56" t="n"/>
      <x:c r="S59" s="56" t="n"/>
      <x:c r="T59" s="74" t="n"/>
      <x:c r="U59" s="56" t="n"/>
    </x:row>
    <x:row r="60">
      <x:c r="A60" s="61" t="str">
        <x:f>IF(B60="","","TL-"&amp;TEXT(ROW()-4,"0000"))</x:f>
      </x:c>
      <x:c r="B60" s="79" t="n"/>
      <x:c r="C60" s="61" t="n"/>
      <x:c r="D60" s="63" t="n"/>
      <x:c r="E60" s="61" t="n"/>
      <x:c r="F60" s="61" t="n"/>
      <x:c r="G60" s="61" t="n"/>
      <x:c r="H60" s="61" t="n"/>
      <x:c r="I60" s="61" t="n"/>
      <x:c r="J60" s="61" t="n"/>
      <x:c r="K60" s="61" t="n"/>
      <x:c r="L60" s="63" t="str">
        <x:f>IF(B60="","",173.33)</x:f>
      </x:c>
      <x:c r="M60" s="63" t="str">
        <x:f>IF(OR(D60="",L60=""),"",D60/L60)</x:f>
      </x:c>
      <x:c r="N60" s="82" t="n"/>
      <x:c r="O60" s="82" t="str">
        <x:f>IF(OR(M60="",N60=""),"",M60*N60)</x:f>
      </x:c>
      <x:c r="P60" s="82" t="str">
        <x:f>IF(B60="","",6732)</x:f>
      </x:c>
      <x:c r="Q60" s="82" t="str">
        <x:f>IF(OR(D60="",P60=""),"",D60*P60)</x:f>
      </x:c>
      <x:c r="R60" s="61" t="n"/>
      <x:c r="S60" s="61" t="n"/>
      <x:c r="T60" s="79" t="n"/>
      <x:c r="U60" s="61" t="n"/>
    </x:row>
    <x:row r="61">
      <x:c r="A61" s="56" t="str">
        <x:f>IF(B61="","","TL-"&amp;TEXT(ROW()-4,"0000"))</x:f>
      </x:c>
      <x:c r="B61" s="74" t="n"/>
      <x:c r="C61" s="56" t="n"/>
      <x:c r="D61" s="58" t="n"/>
      <x:c r="E61" s="56" t="n"/>
      <x:c r="F61" s="56" t="n"/>
      <x:c r="G61" s="56" t="n"/>
      <x:c r="H61" s="56" t="n"/>
      <x:c r="I61" s="56" t="n"/>
      <x:c r="J61" s="56" t="n"/>
      <x:c r="K61" s="56" t="n"/>
      <x:c r="L61" s="58" t="str">
        <x:f>IF(B61="","",173.33)</x:f>
      </x:c>
      <x:c r="M61" s="58" t="str">
        <x:f>IF(OR(D61="",L61=""),"",D61/L61)</x:f>
      </x:c>
      <x:c r="N61" s="76" t="n"/>
      <x:c r="O61" s="76" t="str">
        <x:f>IF(OR(M61="",N61=""),"",M61*N61)</x:f>
      </x:c>
      <x:c r="P61" s="76" t="str">
        <x:f>IF(B61="","",6732)</x:f>
      </x:c>
      <x:c r="Q61" s="76" t="str">
        <x:f>IF(OR(D61="",P61=""),"",D61*P61)</x:f>
      </x:c>
      <x:c r="R61" s="56" t="n"/>
      <x:c r="S61" s="56" t="n"/>
      <x:c r="T61" s="74" t="n"/>
      <x:c r="U61" s="56" t="n"/>
    </x:row>
    <x:row r="62">
      <x:c r="A62" s="61" t="str">
        <x:f>IF(B62="","","TL-"&amp;TEXT(ROW()-4,"0000"))</x:f>
      </x:c>
      <x:c r="B62" s="79" t="n"/>
      <x:c r="C62" s="61" t="n"/>
      <x:c r="D62" s="63" t="n"/>
      <x:c r="E62" s="61" t="n"/>
      <x:c r="F62" s="61" t="n"/>
      <x:c r="G62" s="61" t="n"/>
      <x:c r="H62" s="61" t="n"/>
      <x:c r="I62" s="61" t="n"/>
      <x:c r="J62" s="61" t="n"/>
      <x:c r="K62" s="61" t="n"/>
      <x:c r="L62" s="63" t="str">
        <x:f>IF(B62="","",173.33)</x:f>
      </x:c>
      <x:c r="M62" s="63" t="str">
        <x:f>IF(OR(D62="",L62=""),"",D62/L62)</x:f>
      </x:c>
      <x:c r="N62" s="82" t="n"/>
      <x:c r="O62" s="82" t="str">
        <x:f>IF(OR(M62="",N62=""),"",M62*N62)</x:f>
      </x:c>
      <x:c r="P62" s="82" t="str">
        <x:f>IF(B62="","",6732)</x:f>
      </x:c>
      <x:c r="Q62" s="82" t="str">
        <x:f>IF(OR(D62="",P62=""),"",D62*P62)</x:f>
      </x:c>
      <x:c r="R62" s="61" t="n"/>
      <x:c r="S62" s="61" t="n"/>
      <x:c r="T62" s="79" t="n"/>
      <x:c r="U62" s="61" t="n"/>
    </x:row>
    <x:row r="63">
      <x:c r="A63" s="56" t="str">
        <x:f>IF(B63="","","TL-"&amp;TEXT(ROW()-4,"0000"))</x:f>
      </x:c>
      <x:c r="B63" s="74" t="n"/>
      <x:c r="C63" s="56" t="n"/>
      <x:c r="D63" s="58" t="n"/>
      <x:c r="E63" s="56" t="n"/>
      <x:c r="F63" s="56" t="n"/>
      <x:c r="G63" s="56" t="n"/>
      <x:c r="H63" s="56" t="n"/>
      <x:c r="I63" s="56" t="n"/>
      <x:c r="J63" s="56" t="n"/>
      <x:c r="K63" s="56" t="n"/>
      <x:c r="L63" s="58" t="str">
        <x:f>IF(B63="","",173.33)</x:f>
      </x:c>
      <x:c r="M63" s="58" t="str">
        <x:f>IF(OR(D63="",L63=""),"",D63/L63)</x:f>
      </x:c>
      <x:c r="N63" s="76" t="n"/>
      <x:c r="O63" s="76" t="str">
        <x:f>IF(OR(M63="",N63=""),"",M63*N63)</x:f>
      </x:c>
      <x:c r="P63" s="76" t="str">
        <x:f>IF(B63="","",6732)</x:f>
      </x:c>
      <x:c r="Q63" s="76" t="str">
        <x:f>IF(OR(D63="",P63=""),"",D63*P63)</x:f>
      </x:c>
      <x:c r="R63" s="56" t="n"/>
      <x:c r="S63" s="56" t="n"/>
      <x:c r="T63" s="74" t="n"/>
      <x:c r="U63" s="56" t="n"/>
    </x:row>
    <x:row r="64">
      <x:c r="A64" s="61" t="str">
        <x:f>IF(B64="","","TL-"&amp;TEXT(ROW()-4,"0000"))</x:f>
      </x:c>
      <x:c r="B64" s="79" t="n"/>
      <x:c r="C64" s="61" t="n"/>
      <x:c r="D64" s="63" t="n"/>
      <x:c r="E64" s="61" t="n"/>
      <x:c r="F64" s="61" t="n"/>
      <x:c r="G64" s="61" t="n"/>
      <x:c r="H64" s="61" t="n"/>
      <x:c r="I64" s="61" t="n"/>
      <x:c r="J64" s="61" t="n"/>
      <x:c r="K64" s="61" t="n"/>
      <x:c r="L64" s="63" t="str">
        <x:f>IF(B64="","",173.33)</x:f>
      </x:c>
      <x:c r="M64" s="63" t="str">
        <x:f>IF(OR(D64="",L64=""),"",D64/L64)</x:f>
      </x:c>
      <x:c r="N64" s="82" t="n"/>
      <x:c r="O64" s="82" t="str">
        <x:f>IF(OR(M64="",N64=""),"",M64*N64)</x:f>
      </x:c>
      <x:c r="P64" s="82" t="str">
        <x:f>IF(B64="","",6732)</x:f>
      </x:c>
      <x:c r="Q64" s="82" t="str">
        <x:f>IF(OR(D64="",P64=""),"",D64*P64)</x:f>
      </x:c>
      <x:c r="R64" s="61" t="n"/>
      <x:c r="S64" s="61" t="n"/>
      <x:c r="T64" s="79" t="n"/>
      <x:c r="U64" s="61" t="n"/>
    </x:row>
    <x:row r="65">
      <x:c r="A65" s="56" t="str">
        <x:f>IF(B65="","","TL-"&amp;TEXT(ROW()-4,"0000"))</x:f>
      </x:c>
      <x:c r="B65" s="74" t="n"/>
      <x:c r="C65" s="56" t="n"/>
      <x:c r="D65" s="58" t="n"/>
      <x:c r="E65" s="56" t="n"/>
      <x:c r="F65" s="56" t="n"/>
      <x:c r="G65" s="56" t="n"/>
      <x:c r="H65" s="56" t="n"/>
      <x:c r="I65" s="56" t="n"/>
      <x:c r="J65" s="56" t="n"/>
      <x:c r="K65" s="56" t="n"/>
      <x:c r="L65" s="58" t="str">
        <x:f>IF(B65="","",173.33)</x:f>
      </x:c>
      <x:c r="M65" s="58" t="str">
        <x:f>IF(OR(D65="",L65=""),"",D65/L65)</x:f>
      </x:c>
      <x:c r="N65" s="76" t="n"/>
      <x:c r="O65" s="76" t="str">
        <x:f>IF(OR(M65="",N65=""),"",M65*N65)</x:f>
      </x:c>
      <x:c r="P65" s="76" t="str">
        <x:f>IF(B65="","",6732)</x:f>
      </x:c>
      <x:c r="Q65" s="76" t="str">
        <x:f>IF(OR(D65="",P65=""),"",D65*P65)</x:f>
      </x:c>
      <x:c r="R65" s="56" t="n"/>
      <x:c r="S65" s="56" t="n"/>
      <x:c r="T65" s="74" t="n"/>
      <x:c r="U65" s="56" t="n"/>
    </x:row>
    <x:row r="66">
      <x:c r="A66" s="61" t="str">
        <x:f>IF(B66="","","TL-"&amp;TEXT(ROW()-4,"0000"))</x:f>
      </x:c>
      <x:c r="B66" s="79" t="n"/>
      <x:c r="C66" s="61" t="n"/>
      <x:c r="D66" s="63" t="n"/>
      <x:c r="E66" s="61" t="n"/>
      <x:c r="F66" s="61" t="n"/>
      <x:c r="G66" s="61" t="n"/>
      <x:c r="H66" s="61" t="n"/>
      <x:c r="I66" s="61" t="n"/>
      <x:c r="J66" s="61" t="n"/>
      <x:c r="K66" s="61" t="n"/>
      <x:c r="L66" s="63" t="str">
        <x:f>IF(B66="","",173.33)</x:f>
      </x:c>
      <x:c r="M66" s="63" t="str">
        <x:f>IF(OR(D66="",L66=""),"",D66/L66)</x:f>
      </x:c>
      <x:c r="N66" s="82" t="n"/>
      <x:c r="O66" s="82" t="str">
        <x:f>IF(OR(M66="",N66=""),"",M66*N66)</x:f>
      </x:c>
      <x:c r="P66" s="82" t="str">
        <x:f>IF(B66="","",6732)</x:f>
      </x:c>
      <x:c r="Q66" s="82" t="str">
        <x:f>IF(OR(D66="",P66=""),"",D66*P66)</x:f>
      </x:c>
      <x:c r="R66" s="61" t="n"/>
      <x:c r="S66" s="61" t="n"/>
      <x:c r="T66" s="79" t="n"/>
      <x:c r="U66" s="61" t="n"/>
    </x:row>
    <x:row r="67">
      <x:c r="A67" s="56" t="str">
        <x:f>IF(B67="","","TL-"&amp;TEXT(ROW()-4,"0000"))</x:f>
      </x:c>
      <x:c r="B67" s="74" t="n"/>
      <x:c r="C67" s="56" t="n"/>
      <x:c r="D67" s="58" t="n"/>
      <x:c r="E67" s="56" t="n"/>
      <x:c r="F67" s="56" t="n"/>
      <x:c r="G67" s="56" t="n"/>
      <x:c r="H67" s="56" t="n"/>
      <x:c r="I67" s="56" t="n"/>
      <x:c r="J67" s="56" t="n"/>
      <x:c r="K67" s="56" t="n"/>
      <x:c r="L67" s="58" t="str">
        <x:f>IF(B67="","",173.33)</x:f>
      </x:c>
      <x:c r="M67" s="58" t="str">
        <x:f>IF(OR(D67="",L67=""),"",D67/L67)</x:f>
      </x:c>
      <x:c r="N67" s="76" t="n"/>
      <x:c r="O67" s="76" t="str">
        <x:f>IF(OR(M67="",N67=""),"",M67*N67)</x:f>
      </x:c>
      <x:c r="P67" s="76" t="str">
        <x:f>IF(B67="","",6732)</x:f>
      </x:c>
      <x:c r="Q67" s="76" t="str">
        <x:f>IF(OR(D67="",P67=""),"",D67*P67)</x:f>
      </x:c>
      <x:c r="R67" s="56" t="n"/>
      <x:c r="S67" s="56" t="n"/>
      <x:c r="T67" s="74" t="n"/>
      <x:c r="U67" s="56" t="n"/>
    </x:row>
    <x:row r="68">
      <x:c r="A68" s="61" t="str">
        <x:f>IF(B68="","","TL-"&amp;TEXT(ROW()-4,"0000"))</x:f>
      </x:c>
      <x:c r="B68" s="79" t="n"/>
      <x:c r="C68" s="61" t="n"/>
      <x:c r="D68" s="63" t="n"/>
      <x:c r="E68" s="61" t="n"/>
      <x:c r="F68" s="61" t="n"/>
      <x:c r="G68" s="61" t="n"/>
      <x:c r="H68" s="61" t="n"/>
      <x:c r="I68" s="61" t="n"/>
      <x:c r="J68" s="61" t="n"/>
      <x:c r="K68" s="61" t="n"/>
      <x:c r="L68" s="63" t="str">
        <x:f>IF(B68="","",173.33)</x:f>
      </x:c>
      <x:c r="M68" s="63" t="str">
        <x:f>IF(OR(D68="",L68=""),"",D68/L68)</x:f>
      </x:c>
      <x:c r="N68" s="82" t="n"/>
      <x:c r="O68" s="82" t="str">
        <x:f>IF(OR(M68="",N68=""),"",M68*N68)</x:f>
      </x:c>
      <x:c r="P68" s="82" t="str">
        <x:f>IF(B68="","",6732)</x:f>
      </x:c>
      <x:c r="Q68" s="82" t="str">
        <x:f>IF(OR(D68="",P68=""),"",D68*P68)</x:f>
      </x:c>
      <x:c r="R68" s="61" t="n"/>
      <x:c r="S68" s="61" t="n"/>
      <x:c r="T68" s="79" t="n"/>
      <x:c r="U68" s="61" t="n"/>
    </x:row>
    <x:row r="69">
      <x:c r="A69" s="56" t="str">
        <x:f>IF(B69="","","TL-"&amp;TEXT(ROW()-4,"0000"))</x:f>
      </x:c>
      <x:c r="B69" s="74" t="n"/>
      <x:c r="C69" s="56" t="n"/>
      <x:c r="D69" s="58" t="n"/>
      <x:c r="E69" s="56" t="n"/>
      <x:c r="F69" s="56" t="n"/>
      <x:c r="G69" s="56" t="n"/>
      <x:c r="H69" s="56" t="n"/>
      <x:c r="I69" s="56" t="n"/>
      <x:c r="J69" s="56" t="n"/>
      <x:c r="K69" s="56" t="n"/>
      <x:c r="L69" s="58" t="str">
        <x:f>IF(B69="","",173.33)</x:f>
      </x:c>
      <x:c r="M69" s="58" t="str">
        <x:f>IF(OR(D69="",L69=""),"",D69/L69)</x:f>
      </x:c>
      <x:c r="N69" s="76" t="n"/>
      <x:c r="O69" s="76" t="str">
        <x:f>IF(OR(M69="",N69=""),"",M69*N69)</x:f>
      </x:c>
      <x:c r="P69" s="76" t="str">
        <x:f>IF(B69="","",6732)</x:f>
      </x:c>
      <x:c r="Q69" s="76" t="str">
        <x:f>IF(OR(D69="",P69=""),"",D69*P69)</x:f>
      </x:c>
      <x:c r="R69" s="56" t="n"/>
      <x:c r="S69" s="56" t="n"/>
      <x:c r="T69" s="74" t="n"/>
      <x:c r="U69" s="56" t="n"/>
    </x:row>
    <x:row r="70">
      <x:c r="A70" s="61" t="str">
        <x:f>IF(B70="","","TL-"&amp;TEXT(ROW()-4,"0000"))</x:f>
      </x:c>
      <x:c r="B70" s="79" t="n"/>
      <x:c r="C70" s="61" t="n"/>
      <x:c r="D70" s="63" t="n"/>
      <x:c r="E70" s="61" t="n"/>
      <x:c r="F70" s="61" t="n"/>
      <x:c r="G70" s="61" t="n"/>
      <x:c r="H70" s="61" t="n"/>
      <x:c r="I70" s="61" t="n"/>
      <x:c r="J70" s="61" t="n"/>
      <x:c r="K70" s="61" t="n"/>
      <x:c r="L70" s="63" t="str">
        <x:f>IF(B70="","",173.33)</x:f>
      </x:c>
      <x:c r="M70" s="63" t="str">
        <x:f>IF(OR(D70="",L70=""),"",D70/L70)</x:f>
      </x:c>
      <x:c r="N70" s="82" t="n"/>
      <x:c r="O70" s="82" t="str">
        <x:f>IF(OR(M70="",N70=""),"",M70*N70)</x:f>
      </x:c>
      <x:c r="P70" s="82" t="str">
        <x:f>IF(B70="","",6732)</x:f>
      </x:c>
      <x:c r="Q70" s="82" t="str">
        <x:f>IF(OR(D70="",P70=""),"",D70*P70)</x:f>
      </x:c>
      <x:c r="R70" s="61" t="n"/>
      <x:c r="S70" s="61" t="n"/>
      <x:c r="T70" s="79" t="n"/>
      <x:c r="U70" s="61" t="n"/>
    </x:row>
    <x:row r="71">
      <x:c r="A71" s="56" t="str">
        <x:f>IF(B71="","","TL-"&amp;TEXT(ROW()-4,"0000"))</x:f>
      </x:c>
      <x:c r="B71" s="74" t="n"/>
      <x:c r="C71" s="56" t="n"/>
      <x:c r="D71" s="58" t="n"/>
      <x:c r="E71" s="56" t="n"/>
      <x:c r="F71" s="56" t="n"/>
      <x:c r="G71" s="56" t="n"/>
      <x:c r="H71" s="56" t="n"/>
      <x:c r="I71" s="56" t="n"/>
      <x:c r="J71" s="56" t="n"/>
      <x:c r="K71" s="56" t="n"/>
      <x:c r="L71" s="58" t="str">
        <x:f>IF(B71="","",173.33)</x:f>
      </x:c>
      <x:c r="M71" s="58" t="str">
        <x:f>IF(OR(D71="",L71=""),"",D71/L71)</x:f>
      </x:c>
      <x:c r="N71" s="76" t="n"/>
      <x:c r="O71" s="76" t="str">
        <x:f>IF(OR(M71="",N71=""),"",M71*N71)</x:f>
      </x:c>
      <x:c r="P71" s="76" t="str">
        <x:f>IF(B71="","",6732)</x:f>
      </x:c>
      <x:c r="Q71" s="76" t="str">
        <x:f>IF(OR(D71="",P71=""),"",D71*P71)</x:f>
      </x:c>
      <x:c r="R71" s="56" t="n"/>
      <x:c r="S71" s="56" t="n"/>
      <x:c r="T71" s="74" t="n"/>
      <x:c r="U71" s="56" t="n"/>
    </x:row>
    <x:row r="72">
      <x:c r="A72" s="61" t="str">
        <x:f>IF(B72="","","TL-"&amp;TEXT(ROW()-4,"0000"))</x:f>
      </x:c>
      <x:c r="B72" s="79" t="n"/>
      <x:c r="C72" s="61" t="n"/>
      <x:c r="D72" s="63" t="n"/>
      <x:c r="E72" s="61" t="n"/>
      <x:c r="F72" s="61" t="n"/>
      <x:c r="G72" s="61" t="n"/>
      <x:c r="H72" s="61" t="n"/>
      <x:c r="I72" s="61" t="n"/>
      <x:c r="J72" s="61" t="n"/>
      <x:c r="K72" s="61" t="n"/>
      <x:c r="L72" s="63" t="str">
        <x:f>IF(B72="","",173.33)</x:f>
      </x:c>
      <x:c r="M72" s="63" t="str">
        <x:f>IF(OR(D72="",L72=""),"",D72/L72)</x:f>
      </x:c>
      <x:c r="N72" s="82" t="n"/>
      <x:c r="O72" s="82" t="str">
        <x:f>IF(OR(M72="",N72=""),"",M72*N72)</x:f>
      </x:c>
      <x:c r="P72" s="82" t="str">
        <x:f>IF(B72="","",6732)</x:f>
      </x:c>
      <x:c r="Q72" s="82" t="str">
        <x:f>IF(OR(D72="",P72=""),"",D72*P72)</x:f>
      </x:c>
      <x:c r="R72" s="61" t="n"/>
      <x:c r="S72" s="61" t="n"/>
      <x:c r="T72" s="79" t="n"/>
      <x:c r="U72" s="61" t="n"/>
    </x:row>
    <x:row r="73">
      <x:c r="A73" s="56" t="str">
        <x:f>IF(B73="","","TL-"&amp;TEXT(ROW()-4,"0000"))</x:f>
      </x:c>
      <x:c r="B73" s="74" t="n"/>
      <x:c r="C73" s="56" t="n"/>
      <x:c r="D73" s="58" t="n"/>
      <x:c r="E73" s="56" t="n"/>
      <x:c r="F73" s="56" t="n"/>
      <x:c r="G73" s="56" t="n"/>
      <x:c r="H73" s="56" t="n"/>
      <x:c r="I73" s="56" t="n"/>
      <x:c r="J73" s="56" t="n"/>
      <x:c r="K73" s="56" t="n"/>
      <x:c r="L73" s="58" t="str">
        <x:f>IF(B73="","",173.33)</x:f>
      </x:c>
      <x:c r="M73" s="58" t="str">
        <x:f>IF(OR(D73="",L73=""),"",D73/L73)</x:f>
      </x:c>
      <x:c r="N73" s="76" t="n"/>
      <x:c r="O73" s="76" t="str">
        <x:f>IF(OR(M73="",N73=""),"",M73*N73)</x:f>
      </x:c>
      <x:c r="P73" s="76" t="str">
        <x:f>IF(B73="","",6732)</x:f>
      </x:c>
      <x:c r="Q73" s="76" t="str">
        <x:f>IF(OR(D73="",P73=""),"",D73*P73)</x:f>
      </x:c>
      <x:c r="R73" s="56" t="n"/>
      <x:c r="S73" s="56" t="n"/>
      <x:c r="T73" s="74" t="n"/>
      <x:c r="U73" s="56" t="n"/>
    </x:row>
    <x:row r="74">
      <x:c r="A74" s="61" t="str">
        <x:f>IF(B74="","","TL-"&amp;TEXT(ROW()-4,"0000"))</x:f>
      </x:c>
      <x:c r="B74" s="79" t="n"/>
      <x:c r="C74" s="61" t="n"/>
      <x:c r="D74" s="63" t="n"/>
      <x:c r="E74" s="61" t="n"/>
      <x:c r="F74" s="61" t="n"/>
      <x:c r="G74" s="61" t="n"/>
      <x:c r="H74" s="61" t="n"/>
      <x:c r="I74" s="61" t="n"/>
      <x:c r="J74" s="61" t="n"/>
      <x:c r="K74" s="61" t="n"/>
      <x:c r="L74" s="63" t="str">
        <x:f>IF(B74="","",173.33)</x:f>
      </x:c>
      <x:c r="M74" s="63" t="str">
        <x:f>IF(OR(D74="",L74=""),"",D74/L74)</x:f>
      </x:c>
      <x:c r="N74" s="82" t="n"/>
      <x:c r="O74" s="82" t="str">
        <x:f>IF(OR(M74="",N74=""),"",M74*N74)</x:f>
      </x:c>
      <x:c r="P74" s="82" t="str">
        <x:f>IF(B74="","",6732)</x:f>
      </x:c>
      <x:c r="Q74" s="82" t="str">
        <x:f>IF(OR(D74="",P74=""),"",D74*P74)</x:f>
      </x:c>
      <x:c r="R74" s="61" t="n"/>
      <x:c r="S74" s="61" t="n"/>
      <x:c r="T74" s="79" t="n"/>
      <x:c r="U74" s="61" t="n"/>
    </x:row>
    <x:row r="75">
      <x:c r="A75" s="56" t="str">
        <x:f>IF(B75="","","TL-"&amp;TEXT(ROW()-4,"0000"))</x:f>
      </x:c>
      <x:c r="B75" s="74" t="n"/>
      <x:c r="C75" s="56" t="n"/>
      <x:c r="D75" s="58" t="n"/>
      <x:c r="E75" s="56" t="n"/>
      <x:c r="F75" s="56" t="n"/>
      <x:c r="G75" s="56" t="n"/>
      <x:c r="H75" s="56" t="n"/>
      <x:c r="I75" s="56" t="n"/>
      <x:c r="J75" s="56" t="n"/>
      <x:c r="K75" s="56" t="n"/>
      <x:c r="L75" s="58" t="str">
        <x:f>IF(B75="","",173.33)</x:f>
      </x:c>
      <x:c r="M75" s="58" t="str">
        <x:f>IF(OR(D75="",L75=""),"",D75/L75)</x:f>
      </x:c>
      <x:c r="N75" s="76" t="n"/>
      <x:c r="O75" s="76" t="str">
        <x:f>IF(OR(M75="",N75=""),"",M75*N75)</x:f>
      </x:c>
      <x:c r="P75" s="76" t="str">
        <x:f>IF(B75="","",6732)</x:f>
      </x:c>
      <x:c r="Q75" s="76" t="str">
        <x:f>IF(OR(D75="",P75=""),"",D75*P75)</x:f>
      </x:c>
      <x:c r="R75" s="56" t="n"/>
      <x:c r="S75" s="56" t="n"/>
      <x:c r="T75" s="74" t="n"/>
      <x:c r="U75" s="56" t="n"/>
    </x:row>
    <x:row r="76">
      <x:c r="A76" s="61" t="str">
        <x:f>IF(B76="","","TL-"&amp;TEXT(ROW()-4,"0000"))</x:f>
      </x:c>
      <x:c r="B76" s="79" t="n"/>
      <x:c r="C76" s="61" t="n"/>
      <x:c r="D76" s="63" t="n"/>
      <x:c r="E76" s="61" t="n"/>
      <x:c r="F76" s="61" t="n"/>
      <x:c r="G76" s="61" t="n"/>
      <x:c r="H76" s="61" t="n"/>
      <x:c r="I76" s="61" t="n"/>
      <x:c r="J76" s="61" t="n"/>
      <x:c r="K76" s="61" t="n"/>
      <x:c r="L76" s="63" t="str">
        <x:f>IF(B76="","",173.33)</x:f>
      </x:c>
      <x:c r="M76" s="63" t="str">
        <x:f>IF(OR(D76="",L76=""),"",D76/L76)</x:f>
      </x:c>
      <x:c r="N76" s="82" t="n"/>
      <x:c r="O76" s="82" t="str">
        <x:f>IF(OR(M76="",N76=""),"",M76*N76)</x:f>
      </x:c>
      <x:c r="P76" s="82" t="str">
        <x:f>IF(B76="","",6732)</x:f>
      </x:c>
      <x:c r="Q76" s="82" t="str">
        <x:f>IF(OR(D76="",P76=""),"",D76*P76)</x:f>
      </x:c>
      <x:c r="R76" s="61" t="n"/>
      <x:c r="S76" s="61" t="n"/>
      <x:c r="T76" s="79" t="n"/>
      <x:c r="U76" s="61" t="n"/>
    </x:row>
    <x:row r="77">
      <x:c r="A77" s="56" t="str">
        <x:f>IF(B77="","","TL-"&amp;TEXT(ROW()-4,"0000"))</x:f>
      </x:c>
      <x:c r="B77" s="74" t="n"/>
      <x:c r="C77" s="56" t="n"/>
      <x:c r="D77" s="58" t="n"/>
      <x:c r="E77" s="56" t="n"/>
      <x:c r="F77" s="56" t="n"/>
      <x:c r="G77" s="56" t="n"/>
      <x:c r="H77" s="56" t="n"/>
      <x:c r="I77" s="56" t="n"/>
      <x:c r="J77" s="56" t="n"/>
      <x:c r="K77" s="56" t="n"/>
      <x:c r="L77" s="58" t="str">
        <x:f>IF(B77="","",173.33)</x:f>
      </x:c>
      <x:c r="M77" s="58" t="str">
        <x:f>IF(OR(D77="",L77=""),"",D77/L77)</x:f>
      </x:c>
      <x:c r="N77" s="76" t="n"/>
      <x:c r="O77" s="76" t="str">
        <x:f>IF(OR(M77="",N77=""),"",M77*N77)</x:f>
      </x:c>
      <x:c r="P77" s="76" t="str">
        <x:f>IF(B77="","",6732)</x:f>
      </x:c>
      <x:c r="Q77" s="76" t="str">
        <x:f>IF(OR(D77="",P77=""),"",D77*P77)</x:f>
      </x:c>
      <x:c r="R77" s="56" t="n"/>
      <x:c r="S77" s="56" t="n"/>
      <x:c r="T77" s="74" t="n"/>
      <x:c r="U77" s="56" t="n"/>
    </x:row>
    <x:row r="78">
      <x:c r="A78" s="61" t="str">
        <x:f>IF(B78="","","TL-"&amp;TEXT(ROW()-4,"0000"))</x:f>
      </x:c>
      <x:c r="B78" s="79" t="n"/>
      <x:c r="C78" s="61" t="n"/>
      <x:c r="D78" s="63" t="n"/>
      <x:c r="E78" s="61" t="n"/>
      <x:c r="F78" s="61" t="n"/>
      <x:c r="G78" s="61" t="n"/>
      <x:c r="H78" s="61" t="n"/>
      <x:c r="I78" s="61" t="n"/>
      <x:c r="J78" s="61" t="n"/>
      <x:c r="K78" s="61" t="n"/>
      <x:c r="L78" s="63" t="str">
        <x:f>IF(B78="","",173.33)</x:f>
      </x:c>
      <x:c r="M78" s="63" t="str">
        <x:f>IF(OR(D78="",L78=""),"",D78/L78)</x:f>
      </x:c>
      <x:c r="N78" s="82" t="n"/>
      <x:c r="O78" s="82" t="str">
        <x:f>IF(OR(M78="",N78=""),"",M78*N78)</x:f>
      </x:c>
      <x:c r="P78" s="82" t="str">
        <x:f>IF(B78="","",6732)</x:f>
      </x:c>
      <x:c r="Q78" s="82" t="str">
        <x:f>IF(OR(D78="",P78=""),"",D78*P78)</x:f>
      </x:c>
      <x:c r="R78" s="61" t="n"/>
      <x:c r="S78" s="61" t="n"/>
      <x:c r="T78" s="79" t="n"/>
      <x:c r="U78" s="61" t="n"/>
    </x:row>
    <x:row r="79">
      <x:c r="A79" s="56" t="str">
        <x:f>IF(B79="","","TL-"&amp;TEXT(ROW()-4,"0000"))</x:f>
      </x:c>
      <x:c r="B79" s="74" t="n"/>
      <x:c r="C79" s="56" t="n"/>
      <x:c r="D79" s="58" t="n"/>
      <x:c r="E79" s="56" t="n"/>
      <x:c r="F79" s="56" t="n"/>
      <x:c r="G79" s="56" t="n"/>
      <x:c r="H79" s="56" t="n"/>
      <x:c r="I79" s="56" t="n"/>
      <x:c r="J79" s="56" t="n"/>
      <x:c r="K79" s="56" t="n"/>
      <x:c r="L79" s="58" t="str">
        <x:f>IF(B79="","",173.33)</x:f>
      </x:c>
      <x:c r="M79" s="58" t="str">
        <x:f>IF(OR(D79="",L79=""),"",D79/L79)</x:f>
      </x:c>
      <x:c r="N79" s="76" t="n"/>
      <x:c r="O79" s="76" t="str">
        <x:f>IF(OR(M79="",N79=""),"",M79*N79)</x:f>
      </x:c>
      <x:c r="P79" s="76" t="str">
        <x:f>IF(B79="","",6732)</x:f>
      </x:c>
      <x:c r="Q79" s="76" t="str">
        <x:f>IF(OR(D79="",P79=""),"",D79*P79)</x:f>
      </x:c>
      <x:c r="R79" s="56" t="n"/>
      <x:c r="S79" s="56" t="n"/>
      <x:c r="T79" s="74" t="n"/>
      <x:c r="U79" s="56" t="n"/>
    </x:row>
    <x:row r="80">
      <x:c r="A80" s="61" t="str">
        <x:f>IF(B80="","","TL-"&amp;TEXT(ROW()-4,"0000"))</x:f>
      </x:c>
      <x:c r="B80" s="79" t="n"/>
      <x:c r="C80" s="61" t="n"/>
      <x:c r="D80" s="63" t="n"/>
      <x:c r="E80" s="61" t="n"/>
      <x:c r="F80" s="61" t="n"/>
      <x:c r="G80" s="61" t="n"/>
      <x:c r="H80" s="61" t="n"/>
      <x:c r="I80" s="61" t="n"/>
      <x:c r="J80" s="61" t="n"/>
      <x:c r="K80" s="61" t="n"/>
      <x:c r="L80" s="63" t="str">
        <x:f>IF(B80="","",173.33)</x:f>
      </x:c>
      <x:c r="M80" s="63" t="str">
        <x:f>IF(OR(D80="",L80=""),"",D80/L80)</x:f>
      </x:c>
      <x:c r="N80" s="82" t="n"/>
      <x:c r="O80" s="82" t="str">
        <x:f>IF(OR(M80="",N80=""),"",M80*N80)</x:f>
      </x:c>
      <x:c r="P80" s="82" t="str">
        <x:f>IF(B80="","",6732)</x:f>
      </x:c>
      <x:c r="Q80" s="82" t="str">
        <x:f>IF(OR(D80="",P80=""),"",D80*P80)</x:f>
      </x:c>
      <x:c r="R80" s="61" t="n"/>
      <x:c r="S80" s="61" t="n"/>
      <x:c r="T80" s="79" t="n"/>
      <x:c r="U80" s="61" t="n"/>
    </x:row>
    <x:row r="81">
      <x:c r="A81" s="56" t="str">
        <x:f>IF(B81="","","TL-"&amp;TEXT(ROW()-4,"0000"))</x:f>
      </x:c>
      <x:c r="B81" s="74" t="n"/>
      <x:c r="C81" s="56" t="n"/>
      <x:c r="D81" s="58" t="n"/>
      <x:c r="E81" s="56" t="n"/>
      <x:c r="F81" s="56" t="n"/>
      <x:c r="G81" s="56" t="n"/>
      <x:c r="H81" s="56" t="n"/>
      <x:c r="I81" s="56" t="n"/>
      <x:c r="J81" s="56" t="n"/>
      <x:c r="K81" s="56" t="n"/>
      <x:c r="L81" s="58" t="str">
        <x:f>IF(B81="","",173.33)</x:f>
      </x:c>
      <x:c r="M81" s="58" t="str">
        <x:f>IF(OR(D81="",L81=""),"",D81/L81)</x:f>
      </x:c>
      <x:c r="N81" s="76" t="n"/>
      <x:c r="O81" s="76" t="str">
        <x:f>IF(OR(M81="",N81=""),"",M81*N81)</x:f>
      </x:c>
      <x:c r="P81" s="76" t="str">
        <x:f>IF(B81="","",6732)</x:f>
      </x:c>
      <x:c r="Q81" s="76" t="str">
        <x:f>IF(OR(D81="",P81=""),"",D81*P81)</x:f>
      </x:c>
      <x:c r="R81" s="56" t="n"/>
      <x:c r="S81" s="56" t="n"/>
      <x:c r="T81" s="74" t="n"/>
      <x:c r="U81" s="56" t="n"/>
    </x:row>
    <x:row r="82">
      <x:c r="A82" s="61" t="str">
        <x:f>IF(B82="","","TL-"&amp;TEXT(ROW()-4,"0000"))</x:f>
      </x:c>
      <x:c r="B82" s="79" t="n"/>
      <x:c r="C82" s="61" t="n"/>
      <x:c r="D82" s="63" t="n"/>
      <x:c r="E82" s="61" t="n"/>
      <x:c r="F82" s="61" t="n"/>
      <x:c r="G82" s="61" t="n"/>
      <x:c r="H82" s="61" t="n"/>
      <x:c r="I82" s="61" t="n"/>
      <x:c r="J82" s="61" t="n"/>
      <x:c r="K82" s="61" t="n"/>
      <x:c r="L82" s="63" t="str">
        <x:f>IF(B82="","",173.33)</x:f>
      </x:c>
      <x:c r="M82" s="63" t="str">
        <x:f>IF(OR(D82="",L82=""),"",D82/L82)</x:f>
      </x:c>
      <x:c r="N82" s="82" t="n"/>
      <x:c r="O82" s="82" t="str">
        <x:f>IF(OR(M82="",N82=""),"",M82*N82)</x:f>
      </x:c>
      <x:c r="P82" s="82" t="str">
        <x:f>IF(B82="","",6732)</x:f>
      </x:c>
      <x:c r="Q82" s="82" t="str">
        <x:f>IF(OR(D82="",P82=""),"",D82*P82)</x:f>
      </x:c>
      <x:c r="R82" s="61" t="n"/>
      <x:c r="S82" s="61" t="n"/>
      <x:c r="T82" s="79" t="n"/>
      <x:c r="U82" s="61" t="n"/>
    </x:row>
    <x:row r="83">
      <x:c r="A83" s="56" t="str">
        <x:f>IF(B83="","","TL-"&amp;TEXT(ROW()-4,"0000"))</x:f>
      </x:c>
      <x:c r="B83" s="74" t="n"/>
      <x:c r="C83" s="56" t="n"/>
      <x:c r="D83" s="58" t="n"/>
      <x:c r="E83" s="56" t="n"/>
      <x:c r="F83" s="56" t="n"/>
      <x:c r="G83" s="56" t="n"/>
      <x:c r="H83" s="56" t="n"/>
      <x:c r="I83" s="56" t="n"/>
      <x:c r="J83" s="56" t="n"/>
      <x:c r="K83" s="56" t="n"/>
      <x:c r="L83" s="58" t="str">
        <x:f>IF(B83="","",173.33)</x:f>
      </x:c>
      <x:c r="M83" s="58" t="str">
        <x:f>IF(OR(D83="",L83=""),"",D83/L83)</x:f>
      </x:c>
      <x:c r="N83" s="76" t="n"/>
      <x:c r="O83" s="76" t="str">
        <x:f>IF(OR(M83="",N83=""),"",M83*N83)</x:f>
      </x:c>
      <x:c r="P83" s="76" t="str">
        <x:f>IF(B83="","",6732)</x:f>
      </x:c>
      <x:c r="Q83" s="76" t="str">
        <x:f>IF(OR(D83="",P83=""),"",D83*P83)</x:f>
      </x:c>
      <x:c r="R83" s="56" t="n"/>
      <x:c r="S83" s="56" t="n"/>
      <x:c r="T83" s="74" t="n"/>
      <x:c r="U83" s="56" t="n"/>
    </x:row>
    <x:row r="84">
      <x:c r="A84" s="61" t="str">
        <x:f>IF(B84="","","TL-"&amp;TEXT(ROW()-4,"0000"))</x:f>
      </x:c>
      <x:c r="B84" s="79" t="n"/>
      <x:c r="C84" s="61" t="n"/>
      <x:c r="D84" s="63" t="n"/>
      <x:c r="E84" s="61" t="n"/>
      <x:c r="F84" s="61" t="n"/>
      <x:c r="G84" s="61" t="n"/>
      <x:c r="H84" s="61" t="n"/>
      <x:c r="I84" s="61" t="n"/>
      <x:c r="J84" s="61" t="n"/>
      <x:c r="K84" s="61" t="n"/>
      <x:c r="L84" s="63" t="str">
        <x:f>IF(B84="","",173.33)</x:f>
      </x:c>
      <x:c r="M84" s="63" t="str">
        <x:f>IF(OR(D84="",L84=""),"",D84/L84)</x:f>
      </x:c>
      <x:c r="N84" s="82" t="n"/>
      <x:c r="O84" s="82" t="str">
        <x:f>IF(OR(M84="",N84=""),"",M84*N84)</x:f>
      </x:c>
      <x:c r="P84" s="82" t="str">
        <x:f>IF(B84="","",6732)</x:f>
      </x:c>
      <x:c r="Q84" s="82" t="str">
        <x:f>IF(OR(D84="",P84=""),"",D84*P84)</x:f>
      </x:c>
      <x:c r="R84" s="61" t="n"/>
      <x:c r="S84" s="61" t="n"/>
      <x:c r="T84" s="79" t="n"/>
      <x:c r="U84" s="61" t="n"/>
    </x:row>
    <x:row r="85">
      <x:c r="A85" s="56" t="str">
        <x:f>IF(B85="","","TL-"&amp;TEXT(ROW()-4,"0000"))</x:f>
      </x:c>
      <x:c r="B85" s="74" t="n"/>
      <x:c r="C85" s="56" t="n"/>
      <x:c r="D85" s="58" t="n"/>
      <x:c r="E85" s="56" t="n"/>
      <x:c r="F85" s="56" t="n"/>
      <x:c r="G85" s="56" t="n"/>
      <x:c r="H85" s="56" t="n"/>
      <x:c r="I85" s="56" t="n"/>
      <x:c r="J85" s="56" t="n"/>
      <x:c r="K85" s="56" t="n"/>
      <x:c r="L85" s="58" t="str">
        <x:f>IF(B85="","",173.33)</x:f>
      </x:c>
      <x:c r="M85" s="58" t="str">
        <x:f>IF(OR(D85="",L85=""),"",D85/L85)</x:f>
      </x:c>
      <x:c r="N85" s="76" t="n"/>
      <x:c r="O85" s="76" t="str">
        <x:f>IF(OR(M85="",N85=""),"",M85*N85)</x:f>
      </x:c>
      <x:c r="P85" s="76" t="str">
        <x:f>IF(B85="","",6732)</x:f>
      </x:c>
      <x:c r="Q85" s="76" t="str">
        <x:f>IF(OR(D85="",P85=""),"",D85*P85)</x:f>
      </x:c>
      <x:c r="R85" s="56" t="n"/>
      <x:c r="S85" s="56" t="n"/>
      <x:c r="T85" s="74" t="n"/>
      <x:c r="U85" s="56" t="n"/>
    </x:row>
    <x:row r="86">
      <x:c r="A86" s="61" t="str">
        <x:f>IF(B86="","","TL-"&amp;TEXT(ROW()-4,"0000"))</x:f>
      </x:c>
      <x:c r="B86" s="79" t="n"/>
      <x:c r="C86" s="61" t="n"/>
      <x:c r="D86" s="63" t="n"/>
      <x:c r="E86" s="61" t="n"/>
      <x:c r="F86" s="61" t="n"/>
      <x:c r="G86" s="61" t="n"/>
      <x:c r="H86" s="61" t="n"/>
      <x:c r="I86" s="61" t="n"/>
      <x:c r="J86" s="61" t="n"/>
      <x:c r="K86" s="61" t="n"/>
      <x:c r="L86" s="63" t="str">
        <x:f>IF(B86="","",173.33)</x:f>
      </x:c>
      <x:c r="M86" s="63" t="str">
        <x:f>IF(OR(D86="",L86=""),"",D86/L86)</x:f>
      </x:c>
      <x:c r="N86" s="82" t="n"/>
      <x:c r="O86" s="82" t="str">
        <x:f>IF(OR(M86="",N86=""),"",M86*N86)</x:f>
      </x:c>
      <x:c r="P86" s="82" t="str">
        <x:f>IF(B86="","",6732)</x:f>
      </x:c>
      <x:c r="Q86" s="82" t="str">
        <x:f>IF(OR(D86="",P86=""),"",D86*P86)</x:f>
      </x:c>
      <x:c r="R86" s="61" t="n"/>
      <x:c r="S86" s="61" t="n"/>
      <x:c r="T86" s="79" t="n"/>
      <x:c r="U86" s="61" t="n"/>
    </x:row>
    <x:row r="87">
      <x:c r="A87" s="56" t="str">
        <x:f>IF(B87="","","TL-"&amp;TEXT(ROW()-4,"0000"))</x:f>
      </x:c>
      <x:c r="B87" s="74" t="n"/>
      <x:c r="C87" s="56" t="n"/>
      <x:c r="D87" s="58" t="n"/>
      <x:c r="E87" s="56" t="n"/>
      <x:c r="F87" s="56" t="n"/>
      <x:c r="G87" s="56" t="n"/>
      <x:c r="H87" s="56" t="n"/>
      <x:c r="I87" s="56" t="n"/>
      <x:c r="J87" s="56" t="n"/>
      <x:c r="K87" s="56" t="n"/>
      <x:c r="L87" s="58" t="str">
        <x:f>IF(B87="","",173.33)</x:f>
      </x:c>
      <x:c r="M87" s="58" t="str">
        <x:f>IF(OR(D87="",L87=""),"",D87/L87)</x:f>
      </x:c>
      <x:c r="N87" s="76" t="n"/>
      <x:c r="O87" s="76" t="str">
        <x:f>IF(OR(M87="",N87=""),"",M87*N87)</x:f>
      </x:c>
      <x:c r="P87" s="76" t="str">
        <x:f>IF(B87="","",6732)</x:f>
      </x:c>
      <x:c r="Q87" s="76" t="str">
        <x:f>IF(OR(D87="",P87=""),"",D87*P87)</x:f>
      </x:c>
      <x:c r="R87" s="56" t="n"/>
      <x:c r="S87" s="56" t="n"/>
      <x:c r="T87" s="74" t="n"/>
      <x:c r="U87" s="56" t="n"/>
    </x:row>
    <x:row r="88">
      <x:c r="A88" s="61" t="str">
        <x:f>IF(B88="","","TL-"&amp;TEXT(ROW()-4,"0000"))</x:f>
      </x:c>
      <x:c r="B88" s="79" t="n"/>
      <x:c r="C88" s="61" t="n"/>
      <x:c r="D88" s="63" t="n"/>
      <x:c r="E88" s="61" t="n"/>
      <x:c r="F88" s="61" t="n"/>
      <x:c r="G88" s="61" t="n"/>
      <x:c r="H88" s="61" t="n"/>
      <x:c r="I88" s="61" t="n"/>
      <x:c r="J88" s="61" t="n"/>
      <x:c r="K88" s="61" t="n"/>
      <x:c r="L88" s="63" t="str">
        <x:f>IF(B88="","",173.33)</x:f>
      </x:c>
      <x:c r="M88" s="63" t="str">
        <x:f>IF(OR(D88="",L88=""),"",D88/L88)</x:f>
      </x:c>
      <x:c r="N88" s="82" t="n"/>
      <x:c r="O88" s="82" t="str">
        <x:f>IF(OR(M88="",N88=""),"",M88*N88)</x:f>
      </x:c>
      <x:c r="P88" s="82" t="str">
        <x:f>IF(B88="","",6732)</x:f>
      </x:c>
      <x:c r="Q88" s="82" t="str">
        <x:f>IF(OR(D88="",P88=""),"",D88*P88)</x:f>
      </x:c>
      <x:c r="R88" s="61" t="n"/>
      <x:c r="S88" s="61" t="n"/>
      <x:c r="T88" s="79" t="n"/>
      <x:c r="U88" s="61" t="n"/>
    </x:row>
    <x:row r="89">
      <x:c r="A89" s="56" t="str">
        <x:f>IF(B89="","","TL-"&amp;TEXT(ROW()-4,"0000"))</x:f>
      </x:c>
      <x:c r="B89" s="74" t="n"/>
      <x:c r="C89" s="56" t="n"/>
      <x:c r="D89" s="58" t="n"/>
      <x:c r="E89" s="56" t="n"/>
      <x:c r="F89" s="56" t="n"/>
      <x:c r="G89" s="56" t="n"/>
      <x:c r="H89" s="56" t="n"/>
      <x:c r="I89" s="56" t="n"/>
      <x:c r="J89" s="56" t="n"/>
      <x:c r="K89" s="56" t="n"/>
      <x:c r="L89" s="58" t="str">
        <x:f>IF(B89="","",173.33)</x:f>
      </x:c>
      <x:c r="M89" s="58" t="str">
        <x:f>IF(OR(D89="",L89=""),"",D89/L89)</x:f>
      </x:c>
      <x:c r="N89" s="76" t="n"/>
      <x:c r="O89" s="76" t="str">
        <x:f>IF(OR(M89="",N89=""),"",M89*N89)</x:f>
      </x:c>
      <x:c r="P89" s="76" t="str">
        <x:f>IF(B89="","",6732)</x:f>
      </x:c>
      <x:c r="Q89" s="76" t="str">
        <x:f>IF(OR(D89="",P89=""),"",D89*P89)</x:f>
      </x:c>
      <x:c r="R89" s="56" t="n"/>
      <x:c r="S89" s="56" t="n"/>
      <x:c r="T89" s="74" t="n"/>
      <x:c r="U89" s="56" t="n"/>
    </x:row>
    <x:row r="90">
      <x:c r="A90" s="61" t="str">
        <x:f>IF(B90="","","TL-"&amp;TEXT(ROW()-4,"0000"))</x:f>
      </x:c>
      <x:c r="B90" s="79" t="n"/>
      <x:c r="C90" s="61" t="n"/>
      <x:c r="D90" s="63" t="n"/>
      <x:c r="E90" s="61" t="n"/>
      <x:c r="F90" s="61" t="n"/>
      <x:c r="G90" s="61" t="n"/>
      <x:c r="H90" s="61" t="n"/>
      <x:c r="I90" s="61" t="n"/>
      <x:c r="J90" s="61" t="n"/>
      <x:c r="K90" s="61" t="n"/>
      <x:c r="L90" s="63" t="str">
        <x:f>IF(B90="","",173.33)</x:f>
      </x:c>
      <x:c r="M90" s="63" t="str">
        <x:f>IF(OR(D90="",L90=""),"",D90/L90)</x:f>
      </x:c>
      <x:c r="N90" s="82" t="n"/>
      <x:c r="O90" s="82" t="str">
        <x:f>IF(OR(M90="",N90=""),"",M90*N90)</x:f>
      </x:c>
      <x:c r="P90" s="82" t="str">
        <x:f>IF(B90="","",6732)</x:f>
      </x:c>
      <x:c r="Q90" s="82" t="str">
        <x:f>IF(OR(D90="",P90=""),"",D90*P90)</x:f>
      </x:c>
      <x:c r="R90" s="61" t="n"/>
      <x:c r="S90" s="61" t="n"/>
      <x:c r="T90" s="79" t="n"/>
      <x:c r="U90" s="61" t="n"/>
    </x:row>
    <x:row r="91">
      <x:c r="A91" s="56" t="str">
        <x:f>IF(B91="","","TL-"&amp;TEXT(ROW()-4,"0000"))</x:f>
      </x:c>
      <x:c r="B91" s="74" t="n"/>
      <x:c r="C91" s="56" t="n"/>
      <x:c r="D91" s="58" t="n"/>
      <x:c r="E91" s="56" t="n"/>
      <x:c r="F91" s="56" t="n"/>
      <x:c r="G91" s="56" t="n"/>
      <x:c r="H91" s="56" t="n"/>
      <x:c r="I91" s="56" t="n"/>
      <x:c r="J91" s="56" t="n"/>
      <x:c r="K91" s="56" t="n"/>
      <x:c r="L91" s="58" t="str">
        <x:f>IF(B91="","",173.33)</x:f>
      </x:c>
      <x:c r="M91" s="58" t="str">
        <x:f>IF(OR(D91="",L91=""),"",D91/L91)</x:f>
      </x:c>
      <x:c r="N91" s="76" t="n"/>
      <x:c r="O91" s="76" t="str">
        <x:f>IF(OR(M91="",N91=""),"",M91*N91)</x:f>
      </x:c>
      <x:c r="P91" s="76" t="str">
        <x:f>IF(B91="","",6732)</x:f>
      </x:c>
      <x:c r="Q91" s="76" t="str">
        <x:f>IF(OR(D91="",P91=""),"",D91*P91)</x:f>
      </x:c>
      <x:c r="R91" s="56" t="n"/>
      <x:c r="S91" s="56" t="n"/>
      <x:c r="T91" s="74" t="n"/>
      <x:c r="U91" s="56" t="n"/>
    </x:row>
    <x:row r="92">
      <x:c r="A92" s="61" t="str">
        <x:f>IF(B92="","","TL-"&amp;TEXT(ROW()-4,"0000"))</x:f>
      </x:c>
      <x:c r="B92" s="79" t="n"/>
      <x:c r="C92" s="61" t="n"/>
      <x:c r="D92" s="63" t="n"/>
      <x:c r="E92" s="61" t="n"/>
      <x:c r="F92" s="61" t="n"/>
      <x:c r="G92" s="61" t="n"/>
      <x:c r="H92" s="61" t="n"/>
      <x:c r="I92" s="61" t="n"/>
      <x:c r="J92" s="61" t="n"/>
      <x:c r="K92" s="61" t="n"/>
      <x:c r="L92" s="63" t="str">
        <x:f>IF(B92="","",173.33)</x:f>
      </x:c>
      <x:c r="M92" s="63" t="str">
        <x:f>IF(OR(D92="",L92=""),"",D92/L92)</x:f>
      </x:c>
      <x:c r="N92" s="82" t="n"/>
      <x:c r="O92" s="82" t="str">
        <x:f>IF(OR(M92="",N92=""),"",M92*N92)</x:f>
      </x:c>
      <x:c r="P92" s="82" t="str">
        <x:f>IF(B92="","",6732)</x:f>
      </x:c>
      <x:c r="Q92" s="82" t="str">
        <x:f>IF(OR(D92="",P92=""),"",D92*P92)</x:f>
      </x:c>
      <x:c r="R92" s="61" t="n"/>
      <x:c r="S92" s="61" t="n"/>
      <x:c r="T92" s="79" t="n"/>
      <x:c r="U92" s="61" t="n"/>
    </x:row>
    <x:row r="93">
      <x:c r="A93" s="56" t="str">
        <x:f>IF(B93="","","TL-"&amp;TEXT(ROW()-4,"0000"))</x:f>
      </x:c>
      <x:c r="B93" s="74" t="n"/>
      <x:c r="C93" s="56" t="n"/>
      <x:c r="D93" s="58" t="n"/>
      <x:c r="E93" s="56" t="n"/>
      <x:c r="F93" s="56" t="n"/>
      <x:c r="G93" s="56" t="n"/>
      <x:c r="H93" s="56" t="n"/>
      <x:c r="I93" s="56" t="n"/>
      <x:c r="J93" s="56" t="n"/>
      <x:c r="K93" s="56" t="n"/>
      <x:c r="L93" s="58" t="str">
        <x:f>IF(B93="","",173.33)</x:f>
      </x:c>
      <x:c r="M93" s="58" t="str">
        <x:f>IF(OR(D93="",L93=""),"",D93/L93)</x:f>
      </x:c>
      <x:c r="N93" s="76" t="n"/>
      <x:c r="O93" s="76" t="str">
        <x:f>IF(OR(M93="",N93=""),"",M93*N93)</x:f>
      </x:c>
      <x:c r="P93" s="76" t="str">
        <x:f>IF(B93="","",6732)</x:f>
      </x:c>
      <x:c r="Q93" s="76" t="str">
        <x:f>IF(OR(D93="",P93=""),"",D93*P93)</x:f>
      </x:c>
      <x:c r="R93" s="56" t="n"/>
      <x:c r="S93" s="56" t="n"/>
      <x:c r="T93" s="74" t="n"/>
      <x:c r="U93" s="56" t="n"/>
    </x:row>
    <x:row r="94">
      <x:c r="A94" s="61" t="str">
        <x:f>IF(B94="","","TL-"&amp;TEXT(ROW()-4,"0000"))</x:f>
      </x:c>
      <x:c r="B94" s="79" t="n"/>
      <x:c r="C94" s="61" t="n"/>
      <x:c r="D94" s="63" t="n"/>
      <x:c r="E94" s="61" t="n"/>
      <x:c r="F94" s="61" t="n"/>
      <x:c r="G94" s="61" t="n"/>
      <x:c r="H94" s="61" t="n"/>
      <x:c r="I94" s="61" t="n"/>
      <x:c r="J94" s="61" t="n"/>
      <x:c r="K94" s="61" t="n"/>
      <x:c r="L94" s="63" t="str">
        <x:f>IF(B94="","",173.33)</x:f>
      </x:c>
      <x:c r="M94" s="63" t="str">
        <x:f>IF(OR(D94="",L94=""),"",D94/L94)</x:f>
      </x:c>
      <x:c r="N94" s="82" t="n"/>
      <x:c r="O94" s="82" t="str">
        <x:f>IF(OR(M94="",N94=""),"",M94*N94)</x:f>
      </x:c>
      <x:c r="P94" s="82" t="str">
        <x:f>IF(B94="","",6732)</x:f>
      </x:c>
      <x:c r="Q94" s="82" t="str">
        <x:f>IF(OR(D94="",P94=""),"",D94*P94)</x:f>
      </x:c>
      <x:c r="R94" s="61" t="n"/>
      <x:c r="S94" s="61" t="n"/>
      <x:c r="T94" s="79" t="n"/>
      <x:c r="U94" s="61" t="n"/>
    </x:row>
    <x:row r="95">
      <x:c r="A95" s="56" t="str">
        <x:f>IF(B95="","","TL-"&amp;TEXT(ROW()-4,"0000"))</x:f>
      </x:c>
      <x:c r="B95" s="74" t="n"/>
      <x:c r="C95" s="56" t="n"/>
      <x:c r="D95" s="58" t="n"/>
      <x:c r="E95" s="56" t="n"/>
      <x:c r="F95" s="56" t="n"/>
      <x:c r="G95" s="56" t="n"/>
      <x:c r="H95" s="56" t="n"/>
      <x:c r="I95" s="56" t="n"/>
      <x:c r="J95" s="56" t="n"/>
      <x:c r="K95" s="56" t="n"/>
      <x:c r="L95" s="58" t="str">
        <x:f>IF(B95="","",173.33)</x:f>
      </x:c>
      <x:c r="M95" s="58" t="str">
        <x:f>IF(OR(D95="",L95=""),"",D95/L95)</x:f>
      </x:c>
      <x:c r="N95" s="76" t="n"/>
      <x:c r="O95" s="76" t="str">
        <x:f>IF(OR(M95="",N95=""),"",M95*N95)</x:f>
      </x:c>
      <x:c r="P95" s="76" t="str">
        <x:f>IF(B95="","",6732)</x:f>
      </x:c>
      <x:c r="Q95" s="76" t="str">
        <x:f>IF(OR(D95="",P95=""),"",D95*P95)</x:f>
      </x:c>
      <x:c r="R95" s="56" t="n"/>
      <x:c r="S95" s="56" t="n"/>
      <x:c r="T95" s="74" t="n"/>
      <x:c r="U95" s="56" t="n"/>
    </x:row>
    <x:row r="96">
      <x:c r="A96" s="61" t="str">
        <x:f>IF(B96="","","TL-"&amp;TEXT(ROW()-4,"0000"))</x:f>
      </x:c>
      <x:c r="B96" s="79" t="n"/>
      <x:c r="C96" s="61" t="n"/>
      <x:c r="D96" s="63" t="n"/>
      <x:c r="E96" s="61" t="n"/>
      <x:c r="F96" s="61" t="n"/>
      <x:c r="G96" s="61" t="n"/>
      <x:c r="H96" s="61" t="n"/>
      <x:c r="I96" s="61" t="n"/>
      <x:c r="J96" s="61" t="n"/>
      <x:c r="K96" s="61" t="n"/>
      <x:c r="L96" s="63" t="str">
        <x:f>IF(B96="","",173.33)</x:f>
      </x:c>
      <x:c r="M96" s="63" t="str">
        <x:f>IF(OR(D96="",L96=""),"",D96/L96)</x:f>
      </x:c>
      <x:c r="N96" s="82" t="n"/>
      <x:c r="O96" s="82" t="str">
        <x:f>IF(OR(M96="",N96=""),"",M96*N96)</x:f>
      </x:c>
      <x:c r="P96" s="82" t="str">
        <x:f>IF(B96="","",6732)</x:f>
      </x:c>
      <x:c r="Q96" s="82" t="str">
        <x:f>IF(OR(D96="",P96=""),"",D96*P96)</x:f>
      </x:c>
      <x:c r="R96" s="61" t="n"/>
      <x:c r="S96" s="61" t="n"/>
      <x:c r="T96" s="79" t="n"/>
      <x:c r="U96" s="61" t="n"/>
    </x:row>
    <x:row r="97">
      <x:c r="A97" s="56" t="str">
        <x:f>IF(B97="","","TL-"&amp;TEXT(ROW()-4,"0000"))</x:f>
      </x:c>
      <x:c r="B97" s="74" t="n"/>
      <x:c r="C97" s="56" t="n"/>
      <x:c r="D97" s="58" t="n"/>
      <x:c r="E97" s="56" t="n"/>
      <x:c r="F97" s="56" t="n"/>
      <x:c r="G97" s="56" t="n"/>
      <x:c r="H97" s="56" t="n"/>
      <x:c r="I97" s="56" t="n"/>
      <x:c r="J97" s="56" t="n"/>
      <x:c r="K97" s="56" t="n"/>
      <x:c r="L97" s="58" t="str">
        <x:f>IF(B97="","",173.33)</x:f>
      </x:c>
      <x:c r="M97" s="58" t="str">
        <x:f>IF(OR(D97="",L97=""),"",D97/L97)</x:f>
      </x:c>
      <x:c r="N97" s="76" t="n"/>
      <x:c r="O97" s="76" t="str">
        <x:f>IF(OR(M97="",N97=""),"",M97*N97)</x:f>
      </x:c>
      <x:c r="P97" s="76" t="str">
        <x:f>IF(B97="","",6732)</x:f>
      </x:c>
      <x:c r="Q97" s="76" t="str">
        <x:f>IF(OR(D97="",P97=""),"",D97*P97)</x:f>
      </x:c>
      <x:c r="R97" s="56" t="n"/>
      <x:c r="S97" s="56" t="n"/>
      <x:c r="T97" s="74" t="n"/>
      <x:c r="U97" s="56" t="n"/>
    </x:row>
    <x:row r="98">
      <x:c r="A98" s="61" t="str">
        <x:f>IF(B98="","","TL-"&amp;TEXT(ROW()-4,"0000"))</x:f>
      </x:c>
      <x:c r="B98" s="79" t="n"/>
      <x:c r="C98" s="61" t="n"/>
      <x:c r="D98" s="63" t="n"/>
      <x:c r="E98" s="61" t="n"/>
      <x:c r="F98" s="61" t="n"/>
      <x:c r="G98" s="61" t="n"/>
      <x:c r="H98" s="61" t="n"/>
      <x:c r="I98" s="61" t="n"/>
      <x:c r="J98" s="61" t="n"/>
      <x:c r="K98" s="61" t="n"/>
      <x:c r="L98" s="63" t="str">
        <x:f>IF(B98="","",173.33)</x:f>
      </x:c>
      <x:c r="M98" s="63" t="str">
        <x:f>IF(OR(D98="",L98=""),"",D98/L98)</x:f>
      </x:c>
      <x:c r="N98" s="82" t="n"/>
      <x:c r="O98" s="82" t="str">
        <x:f>IF(OR(M98="",N98=""),"",M98*N98)</x:f>
      </x:c>
      <x:c r="P98" s="82" t="str">
        <x:f>IF(B98="","",6732)</x:f>
      </x:c>
      <x:c r="Q98" s="82" t="str">
        <x:f>IF(OR(D98="",P98=""),"",D98*P98)</x:f>
      </x:c>
      <x:c r="R98" s="61" t="n"/>
      <x:c r="S98" s="61" t="n"/>
      <x:c r="T98" s="79" t="n"/>
      <x:c r="U98" s="61" t="n"/>
    </x:row>
    <x:row r="99">
      <x:c r="A99" s="56" t="str">
        <x:f>IF(B99="","","TL-"&amp;TEXT(ROW()-4,"0000"))</x:f>
      </x:c>
      <x:c r="B99" s="74" t="n"/>
      <x:c r="C99" s="56" t="n"/>
      <x:c r="D99" s="58" t="n"/>
      <x:c r="E99" s="56" t="n"/>
      <x:c r="F99" s="56" t="n"/>
      <x:c r="G99" s="56" t="n"/>
      <x:c r="H99" s="56" t="n"/>
      <x:c r="I99" s="56" t="n"/>
      <x:c r="J99" s="56" t="n"/>
      <x:c r="K99" s="56" t="n"/>
      <x:c r="L99" s="58" t="str">
        <x:f>IF(B99="","",173.33)</x:f>
      </x:c>
      <x:c r="M99" s="58" t="str">
        <x:f>IF(OR(D99="",L99=""),"",D99/L99)</x:f>
      </x:c>
      <x:c r="N99" s="76" t="n"/>
      <x:c r="O99" s="76" t="str">
        <x:f>IF(OR(M99="",N99=""),"",M99*N99)</x:f>
      </x:c>
      <x:c r="P99" s="76" t="str">
        <x:f>IF(B99="","",6732)</x:f>
      </x:c>
      <x:c r="Q99" s="76" t="str">
        <x:f>IF(OR(D99="",P99=""),"",D99*P99)</x:f>
      </x:c>
      <x:c r="R99" s="56" t="n"/>
      <x:c r="S99" s="56" t="n"/>
      <x:c r="T99" s="74" t="n"/>
      <x:c r="U99" s="56" t="n"/>
    </x:row>
    <x:row r="100">
      <x:c r="A100" s="61" t="str">
        <x:f>IF(B100="","","TL-"&amp;TEXT(ROW()-4,"0000"))</x:f>
      </x:c>
      <x:c r="B100" s="79" t="n"/>
      <x:c r="C100" s="61" t="n"/>
      <x:c r="D100" s="63" t="n"/>
      <x:c r="E100" s="61" t="n"/>
      <x:c r="F100" s="61" t="n"/>
      <x:c r="G100" s="61" t="n"/>
      <x:c r="H100" s="61" t="n"/>
      <x:c r="I100" s="61" t="n"/>
      <x:c r="J100" s="61" t="n"/>
      <x:c r="K100" s="61" t="n"/>
      <x:c r="L100" s="63" t="str">
        <x:f>IF(B100="","",173.33)</x:f>
      </x:c>
      <x:c r="M100" s="63" t="str">
        <x:f>IF(OR(D100="",L100=""),"",D100/L100)</x:f>
      </x:c>
      <x:c r="N100" s="82" t="n"/>
      <x:c r="O100" s="82" t="str">
        <x:f>IF(OR(M100="",N100=""),"",M100*N100)</x:f>
      </x:c>
      <x:c r="P100" s="82" t="str">
        <x:f>IF(B100="","",6732)</x:f>
      </x:c>
      <x:c r="Q100" s="82" t="str">
        <x:f>IF(OR(D100="",P100=""),"",D100*P100)</x:f>
      </x:c>
      <x:c r="R100" s="61" t="n"/>
      <x:c r="S100" s="61" t="n"/>
      <x:c r="T100" s="79" t="n"/>
      <x:c r="U100" s="61" t="n"/>
    </x:row>
    <x:row r="101">
      <x:c r="A101" s="56" t="str">
        <x:f>IF(B101="","","TL-"&amp;TEXT(ROW()-4,"0000"))</x:f>
      </x:c>
      <x:c r="B101" s="74" t="n"/>
      <x:c r="C101" s="56" t="n"/>
      <x:c r="D101" s="58" t="n"/>
      <x:c r="E101" s="56" t="n"/>
      <x:c r="F101" s="56" t="n"/>
      <x:c r="G101" s="56" t="n"/>
      <x:c r="H101" s="56" t="n"/>
      <x:c r="I101" s="56" t="n"/>
      <x:c r="J101" s="56" t="n"/>
      <x:c r="K101" s="56" t="n"/>
      <x:c r="L101" s="58" t="str">
        <x:f>IF(B101="","",173.33)</x:f>
      </x:c>
      <x:c r="M101" s="58" t="str">
        <x:f>IF(OR(D101="",L101=""),"",D101/L101)</x:f>
      </x:c>
      <x:c r="N101" s="76" t="n"/>
      <x:c r="O101" s="76" t="str">
        <x:f>IF(OR(M101="",N101=""),"",M101*N101)</x:f>
      </x:c>
      <x:c r="P101" s="76" t="str">
        <x:f>IF(B101="","",6732)</x:f>
      </x:c>
      <x:c r="Q101" s="76" t="str">
        <x:f>IF(OR(D101="",P101=""),"",D101*P101)</x:f>
      </x:c>
      <x:c r="R101" s="56" t="n"/>
      <x:c r="S101" s="56" t="n"/>
      <x:c r="T101" s="74" t="n"/>
      <x:c r="U101" s="56" t="n"/>
    </x:row>
    <x:row r="102">
      <x:c r="A102" s="61" t="str">
        <x:f>IF(B102="","","TL-"&amp;TEXT(ROW()-4,"0000"))</x:f>
      </x:c>
      <x:c r="B102" s="79" t="n"/>
      <x:c r="C102" s="61" t="n"/>
      <x:c r="D102" s="63" t="n"/>
      <x:c r="E102" s="61" t="n"/>
      <x:c r="F102" s="61" t="n"/>
      <x:c r="G102" s="61" t="n"/>
      <x:c r="H102" s="61" t="n"/>
      <x:c r="I102" s="61" t="n"/>
      <x:c r="J102" s="61" t="n"/>
      <x:c r="K102" s="61" t="n"/>
      <x:c r="L102" s="63" t="str">
        <x:f>IF(B102="","",173.33)</x:f>
      </x:c>
      <x:c r="M102" s="63" t="str">
        <x:f>IF(OR(D102="",L102=""),"",D102/L102)</x:f>
      </x:c>
      <x:c r="N102" s="82" t="n"/>
      <x:c r="O102" s="82" t="str">
        <x:f>IF(OR(M102="",N102=""),"",M102*N102)</x:f>
      </x:c>
      <x:c r="P102" s="82" t="str">
        <x:f>IF(B102="","",6732)</x:f>
      </x:c>
      <x:c r="Q102" s="82" t="str">
        <x:f>IF(OR(D102="",P102=""),"",D102*P102)</x:f>
      </x:c>
      <x:c r="R102" s="61" t="n"/>
      <x:c r="S102" s="61" t="n"/>
      <x:c r="T102" s="79" t="n"/>
      <x:c r="U102" s="61" t="n"/>
    </x:row>
    <x:row r="103">
      <x:c r="A103" s="56" t="str">
        <x:f>IF(B103="","","TL-"&amp;TEXT(ROW()-4,"0000"))</x:f>
      </x:c>
      <x:c r="B103" s="74" t="n"/>
      <x:c r="C103" s="56" t="n"/>
      <x:c r="D103" s="58" t="n"/>
      <x:c r="E103" s="56" t="n"/>
      <x:c r="F103" s="56" t="n"/>
      <x:c r="G103" s="56" t="n"/>
      <x:c r="H103" s="56" t="n"/>
      <x:c r="I103" s="56" t="n"/>
      <x:c r="J103" s="56" t="n"/>
      <x:c r="K103" s="56" t="n"/>
      <x:c r="L103" s="58" t="str">
        <x:f>IF(B103="","",173.33)</x:f>
      </x:c>
      <x:c r="M103" s="58" t="str">
        <x:f>IF(OR(D103="",L103=""),"",D103/L103)</x:f>
      </x:c>
      <x:c r="N103" s="76" t="n"/>
      <x:c r="O103" s="76" t="str">
        <x:f>IF(OR(M103="",N103=""),"",M103*N103)</x:f>
      </x:c>
      <x:c r="P103" s="76" t="str">
        <x:f>IF(B103="","",6732)</x:f>
      </x:c>
      <x:c r="Q103" s="76" t="str">
        <x:f>IF(OR(D103="",P103=""),"",D103*P103)</x:f>
      </x:c>
      <x:c r="R103" s="56" t="n"/>
      <x:c r="S103" s="56" t="n"/>
      <x:c r="T103" s="74" t="n"/>
      <x:c r="U103" s="56" t="n"/>
    </x:row>
    <x:row r="104">
      <x:c r="A104" s="61" t="str">
        <x:f>IF(B104="","","TL-"&amp;TEXT(ROW()-4,"0000"))</x:f>
      </x:c>
      <x:c r="B104" s="79" t="n"/>
      <x:c r="C104" s="61" t="n"/>
      <x:c r="D104" s="63" t="n"/>
      <x:c r="E104" s="61" t="n"/>
      <x:c r="F104" s="61" t="n"/>
      <x:c r="G104" s="61" t="n"/>
      <x:c r="H104" s="61" t="n"/>
      <x:c r="I104" s="61" t="n"/>
      <x:c r="J104" s="61" t="n"/>
      <x:c r="K104" s="61" t="n"/>
      <x:c r="L104" s="63" t="str">
        <x:f>IF(B104="","",173.33)</x:f>
      </x:c>
      <x:c r="M104" s="63" t="str">
        <x:f>IF(OR(D104="",L104=""),"",D104/L104)</x:f>
      </x:c>
      <x:c r="N104" s="82" t="n"/>
      <x:c r="O104" s="82" t="str">
        <x:f>IF(OR(M104="",N104=""),"",M104*N104)</x:f>
      </x:c>
      <x:c r="P104" s="82" t="str">
        <x:f>IF(B104="","",6732)</x:f>
      </x:c>
      <x:c r="Q104" s="82" t="str">
        <x:f>IF(OR(D104="",P104=""),"",D104*P104)</x:f>
      </x:c>
      <x:c r="R104" s="61" t="n"/>
      <x:c r="S104" s="61" t="n"/>
      <x:c r="T104" s="79" t="n"/>
      <x:c r="U104" s="61" t="n"/>
    </x:row>
    <x:row r="105">
      <x:c r="A105" s="56" t="str">
        <x:f>IF(B105="","","TL-"&amp;TEXT(ROW()-4,"0000"))</x:f>
      </x:c>
      <x:c r="B105" s="74" t="n"/>
      <x:c r="C105" s="56" t="n"/>
      <x:c r="D105" s="58" t="n"/>
      <x:c r="E105" s="56" t="n"/>
      <x:c r="F105" s="56" t="n"/>
      <x:c r="G105" s="56" t="n"/>
      <x:c r="H105" s="56" t="n"/>
      <x:c r="I105" s="56" t="n"/>
      <x:c r="J105" s="56" t="n"/>
      <x:c r="K105" s="56" t="n"/>
      <x:c r="L105" s="58" t="str">
        <x:f>IF(B105="","",173.33)</x:f>
      </x:c>
      <x:c r="M105" s="58" t="str">
        <x:f>IF(OR(D105="",L105=""),"",D105/L105)</x:f>
      </x:c>
      <x:c r="N105" s="76" t="n"/>
      <x:c r="O105" s="76" t="str">
        <x:f>IF(OR(M105="",N105=""),"",M105*N105)</x:f>
      </x:c>
      <x:c r="P105" s="76" t="str">
        <x:f>IF(B105="","",6732)</x:f>
      </x:c>
      <x:c r="Q105" s="76" t="str">
        <x:f>IF(OR(D105="",P105=""),"",D105*P105)</x:f>
      </x:c>
      <x:c r="R105" s="56" t="n"/>
      <x:c r="S105" s="56" t="n"/>
      <x:c r="T105" s="74" t="n"/>
      <x:c r="U105" s="56" t="n"/>
    </x:row>
    <x:row r="106">
      <x:c r="A106" s="61" t="str">
        <x:f>IF(B106="","","TL-"&amp;TEXT(ROW()-4,"0000"))</x:f>
      </x:c>
      <x:c r="B106" s="79" t="n"/>
      <x:c r="C106" s="61" t="n"/>
      <x:c r="D106" s="63" t="n"/>
      <x:c r="E106" s="61" t="n"/>
      <x:c r="F106" s="61" t="n"/>
      <x:c r="G106" s="61" t="n"/>
      <x:c r="H106" s="61" t="n"/>
      <x:c r="I106" s="61" t="n"/>
      <x:c r="J106" s="61" t="n"/>
      <x:c r="K106" s="61" t="n"/>
      <x:c r="L106" s="63" t="str">
        <x:f>IF(B106="","",173.33)</x:f>
      </x:c>
      <x:c r="M106" s="63" t="str">
        <x:f>IF(OR(D106="",L106=""),"",D106/L106)</x:f>
      </x:c>
      <x:c r="N106" s="82" t="n"/>
      <x:c r="O106" s="82" t="str">
        <x:f>IF(OR(M106="",N106=""),"",M106*N106)</x:f>
      </x:c>
      <x:c r="P106" s="82" t="str">
        <x:f>IF(B106="","",6732)</x:f>
      </x:c>
      <x:c r="Q106" s="82" t="str">
        <x:f>IF(OR(D106="",P106=""),"",D106*P106)</x:f>
      </x:c>
      <x:c r="R106" s="61" t="n"/>
      <x:c r="S106" s="61" t="n"/>
      <x:c r="T106" s="79" t="n"/>
      <x:c r="U106" s="61" t="n"/>
    </x:row>
    <x:row r="107">
      <x:c r="A107" s="56" t="str">
        <x:f>IF(B107="","","TL-"&amp;TEXT(ROW()-4,"0000"))</x:f>
      </x:c>
      <x:c r="B107" s="74" t="n"/>
      <x:c r="C107" s="56" t="n"/>
      <x:c r="D107" s="58" t="n"/>
      <x:c r="E107" s="56" t="n"/>
      <x:c r="F107" s="56" t="n"/>
      <x:c r="G107" s="56" t="n"/>
      <x:c r="H107" s="56" t="n"/>
      <x:c r="I107" s="56" t="n"/>
      <x:c r="J107" s="56" t="n"/>
      <x:c r="K107" s="56" t="n"/>
      <x:c r="L107" s="58" t="str">
        <x:f>IF(B107="","",173.33)</x:f>
      </x:c>
      <x:c r="M107" s="58" t="str">
        <x:f>IF(OR(D107="",L107=""),"",D107/L107)</x:f>
      </x:c>
      <x:c r="N107" s="76" t="n"/>
      <x:c r="O107" s="76" t="str">
        <x:f>IF(OR(M107="",N107=""),"",M107*N107)</x:f>
      </x:c>
      <x:c r="P107" s="76" t="str">
        <x:f>IF(B107="","",6732)</x:f>
      </x:c>
      <x:c r="Q107" s="76" t="str">
        <x:f>IF(OR(D107="",P107=""),"",D107*P107)</x:f>
      </x:c>
      <x:c r="R107" s="56" t="n"/>
      <x:c r="S107" s="56" t="n"/>
      <x:c r="T107" s="74" t="n"/>
      <x:c r="U107" s="56" t="n"/>
    </x:row>
    <x:row r="108">
      <x:c r="A108" s="61" t="str">
        <x:f>IF(B108="","","TL-"&amp;TEXT(ROW()-4,"0000"))</x:f>
      </x:c>
      <x:c r="B108" s="79" t="n"/>
      <x:c r="C108" s="61" t="n"/>
      <x:c r="D108" s="63" t="n"/>
      <x:c r="E108" s="61" t="n"/>
      <x:c r="F108" s="61" t="n"/>
      <x:c r="G108" s="61" t="n"/>
      <x:c r="H108" s="61" t="n"/>
      <x:c r="I108" s="61" t="n"/>
      <x:c r="J108" s="61" t="n"/>
      <x:c r="K108" s="61" t="n"/>
      <x:c r="L108" s="63" t="str">
        <x:f>IF(B108="","",173.33)</x:f>
      </x:c>
      <x:c r="M108" s="63" t="str">
        <x:f>IF(OR(D108="",L108=""),"",D108/L108)</x:f>
      </x:c>
      <x:c r="N108" s="82" t="n"/>
      <x:c r="O108" s="82" t="str">
        <x:f>IF(OR(M108="",N108=""),"",M108*N108)</x:f>
      </x:c>
      <x:c r="P108" s="82" t="str">
        <x:f>IF(B108="","",6732)</x:f>
      </x:c>
      <x:c r="Q108" s="82" t="str">
        <x:f>IF(OR(D108="",P108=""),"",D108*P108)</x:f>
      </x:c>
      <x:c r="R108" s="61" t="n"/>
      <x:c r="S108" s="61" t="n"/>
      <x:c r="T108" s="79" t="n"/>
      <x:c r="U108" s="61" t="n"/>
    </x:row>
    <x:row r="109">
      <x:c r="A109" s="56" t="str">
        <x:f>IF(B109="","","TL-"&amp;TEXT(ROW()-4,"0000"))</x:f>
      </x:c>
      <x:c r="B109" s="74" t="n"/>
      <x:c r="C109" s="56" t="n"/>
      <x:c r="D109" s="58" t="n"/>
      <x:c r="E109" s="56" t="n"/>
      <x:c r="F109" s="56" t="n"/>
      <x:c r="G109" s="56" t="n"/>
      <x:c r="H109" s="56" t="n"/>
      <x:c r="I109" s="56" t="n"/>
      <x:c r="J109" s="56" t="n"/>
      <x:c r="K109" s="56" t="n"/>
      <x:c r="L109" s="58" t="str">
        <x:f>IF(B109="","",173.33)</x:f>
      </x:c>
      <x:c r="M109" s="58" t="str">
        <x:f>IF(OR(D109="",L109=""),"",D109/L109)</x:f>
      </x:c>
      <x:c r="N109" s="76" t="n"/>
      <x:c r="O109" s="76" t="str">
        <x:f>IF(OR(M109="",N109=""),"",M109*N109)</x:f>
      </x:c>
      <x:c r="P109" s="76" t="str">
        <x:f>IF(B109="","",6732)</x:f>
      </x:c>
      <x:c r="Q109" s="76" t="str">
        <x:f>IF(OR(D109="",P109=""),"",D109*P109)</x:f>
      </x:c>
      <x:c r="R109" s="56" t="n"/>
      <x:c r="S109" s="56" t="n"/>
      <x:c r="T109" s="74" t="n"/>
      <x:c r="U109" s="56" t="n"/>
    </x:row>
    <x:row r="110">
      <x:c r="A110" s="61" t="str">
        <x:f>IF(B110="","","TL-"&amp;TEXT(ROW()-4,"0000"))</x:f>
      </x:c>
      <x:c r="B110" s="79" t="n"/>
      <x:c r="C110" s="61" t="n"/>
      <x:c r="D110" s="63" t="n"/>
      <x:c r="E110" s="61" t="n"/>
      <x:c r="F110" s="61" t="n"/>
      <x:c r="G110" s="61" t="n"/>
      <x:c r="H110" s="61" t="n"/>
      <x:c r="I110" s="61" t="n"/>
      <x:c r="J110" s="61" t="n"/>
      <x:c r="K110" s="61" t="n"/>
      <x:c r="L110" s="63" t="str">
        <x:f>IF(B110="","",173.33)</x:f>
      </x:c>
      <x:c r="M110" s="63" t="str">
        <x:f>IF(OR(D110="",L110=""),"",D110/L110)</x:f>
      </x:c>
      <x:c r="N110" s="82" t="n"/>
      <x:c r="O110" s="82" t="str">
        <x:f>IF(OR(M110="",N110=""),"",M110*N110)</x:f>
      </x:c>
      <x:c r="P110" s="82" t="str">
        <x:f>IF(B110="","",6732)</x:f>
      </x:c>
      <x:c r="Q110" s="82" t="str">
        <x:f>IF(OR(D110="",P110=""),"",D110*P110)</x:f>
      </x:c>
      <x:c r="R110" s="61" t="n"/>
      <x:c r="S110" s="61" t="n"/>
      <x:c r="T110" s="79" t="n"/>
      <x:c r="U110" s="61" t="n"/>
    </x:row>
    <x:row r="111">
      <x:c r="A111" s="56" t="str">
        <x:f>IF(B111="","","TL-"&amp;TEXT(ROW()-4,"0000"))</x:f>
      </x:c>
      <x:c r="B111" s="74" t="n"/>
      <x:c r="C111" s="56" t="n"/>
      <x:c r="D111" s="58" t="n"/>
      <x:c r="E111" s="56" t="n"/>
      <x:c r="F111" s="56" t="n"/>
      <x:c r="G111" s="56" t="n"/>
      <x:c r="H111" s="56" t="n"/>
      <x:c r="I111" s="56" t="n"/>
      <x:c r="J111" s="56" t="n"/>
      <x:c r="K111" s="56" t="n"/>
      <x:c r="L111" s="58" t="str">
        <x:f>IF(B111="","",173.33)</x:f>
      </x:c>
      <x:c r="M111" s="58" t="str">
        <x:f>IF(OR(D111="",L111=""),"",D111/L111)</x:f>
      </x:c>
      <x:c r="N111" s="76" t="n"/>
      <x:c r="O111" s="76" t="str">
        <x:f>IF(OR(M111="",N111=""),"",M111*N111)</x:f>
      </x:c>
      <x:c r="P111" s="76" t="str">
        <x:f>IF(B111="","",6732)</x:f>
      </x:c>
      <x:c r="Q111" s="76" t="str">
        <x:f>IF(OR(D111="",P111=""),"",D111*P111)</x:f>
      </x:c>
      <x:c r="R111" s="56" t="n"/>
      <x:c r="S111" s="56" t="n"/>
      <x:c r="T111" s="74" t="n"/>
      <x:c r="U111" s="56" t="n"/>
    </x:row>
    <x:row r="112">
      <x:c r="A112" s="61" t="str">
        <x:f>IF(B112="","","TL-"&amp;TEXT(ROW()-4,"0000"))</x:f>
      </x:c>
      <x:c r="B112" s="79" t="n"/>
      <x:c r="C112" s="61" t="n"/>
      <x:c r="D112" s="63" t="n"/>
      <x:c r="E112" s="61" t="n"/>
      <x:c r="F112" s="61" t="n"/>
      <x:c r="G112" s="61" t="n"/>
      <x:c r="H112" s="61" t="n"/>
      <x:c r="I112" s="61" t="n"/>
      <x:c r="J112" s="61" t="n"/>
      <x:c r="K112" s="61" t="n"/>
      <x:c r="L112" s="63" t="str">
        <x:f>IF(B112="","",173.33)</x:f>
      </x:c>
      <x:c r="M112" s="63" t="str">
        <x:f>IF(OR(D112="",L112=""),"",D112/L112)</x:f>
      </x:c>
      <x:c r="N112" s="82" t="n"/>
      <x:c r="O112" s="82" t="str">
        <x:f>IF(OR(M112="",N112=""),"",M112*N112)</x:f>
      </x:c>
      <x:c r="P112" s="82" t="str">
        <x:f>IF(B112="","",6732)</x:f>
      </x:c>
      <x:c r="Q112" s="82" t="str">
        <x:f>IF(OR(D112="",P112=""),"",D112*P112)</x:f>
      </x:c>
      <x:c r="R112" s="61" t="n"/>
      <x:c r="S112" s="61" t="n"/>
      <x:c r="T112" s="79" t="n"/>
      <x:c r="U112" s="61" t="n"/>
    </x:row>
    <x:row r="113">
      <x:c r="A113" s="56" t="str">
        <x:f>IF(B113="","","TL-"&amp;TEXT(ROW()-4,"0000"))</x:f>
      </x:c>
      <x:c r="B113" s="74" t="n"/>
      <x:c r="C113" s="56" t="n"/>
      <x:c r="D113" s="58" t="n"/>
      <x:c r="E113" s="56" t="n"/>
      <x:c r="F113" s="56" t="n"/>
      <x:c r="G113" s="56" t="n"/>
      <x:c r="H113" s="56" t="n"/>
      <x:c r="I113" s="56" t="n"/>
      <x:c r="J113" s="56" t="n"/>
      <x:c r="K113" s="56" t="n"/>
      <x:c r="L113" s="58" t="str">
        <x:f>IF(B113="","",173.33)</x:f>
      </x:c>
      <x:c r="M113" s="58" t="str">
        <x:f>IF(OR(D113="",L113=""),"",D113/L113)</x:f>
      </x:c>
      <x:c r="N113" s="76" t="n"/>
      <x:c r="O113" s="76" t="str">
        <x:f>IF(OR(M113="",N113=""),"",M113*N113)</x:f>
      </x:c>
      <x:c r="P113" s="76" t="str">
        <x:f>IF(B113="","",6732)</x:f>
      </x:c>
      <x:c r="Q113" s="76" t="str">
        <x:f>IF(OR(D113="",P113=""),"",D113*P113)</x:f>
      </x:c>
      <x:c r="R113" s="56" t="n"/>
      <x:c r="S113" s="56" t="n"/>
      <x:c r="T113" s="74" t="n"/>
      <x:c r="U113" s="56" t="n"/>
    </x:row>
    <x:row r="114">
      <x:c r="A114" s="61" t="str">
        <x:f>IF(B114="","","TL-"&amp;TEXT(ROW()-4,"0000"))</x:f>
      </x:c>
      <x:c r="B114" s="79" t="n"/>
      <x:c r="C114" s="61" t="n"/>
      <x:c r="D114" s="63" t="n"/>
      <x:c r="E114" s="61" t="n"/>
      <x:c r="F114" s="61" t="n"/>
      <x:c r="G114" s="61" t="n"/>
      <x:c r="H114" s="61" t="n"/>
      <x:c r="I114" s="61" t="n"/>
      <x:c r="J114" s="61" t="n"/>
      <x:c r="K114" s="61" t="n"/>
      <x:c r="L114" s="63" t="str">
        <x:f>IF(B114="","",173.33)</x:f>
      </x:c>
      <x:c r="M114" s="63" t="str">
        <x:f>IF(OR(D114="",L114=""),"",D114/L114)</x:f>
      </x:c>
      <x:c r="N114" s="82" t="n"/>
      <x:c r="O114" s="82" t="str">
        <x:f>IF(OR(M114="",N114=""),"",M114*N114)</x:f>
      </x:c>
      <x:c r="P114" s="82" t="str">
        <x:f>IF(B114="","",6732)</x:f>
      </x:c>
      <x:c r="Q114" s="82" t="str">
        <x:f>IF(OR(D114="",P114=""),"",D114*P114)</x:f>
      </x:c>
      <x:c r="R114" s="61" t="n"/>
      <x:c r="S114" s="61" t="n"/>
      <x:c r="T114" s="79" t="n"/>
      <x:c r="U114" s="61" t="n"/>
    </x:row>
    <x:row r="115">
      <x:c r="A115" s="56" t="str">
        <x:f>IF(B115="","","TL-"&amp;TEXT(ROW()-4,"0000"))</x:f>
      </x:c>
      <x:c r="B115" s="74" t="n"/>
      <x:c r="C115" s="56" t="n"/>
      <x:c r="D115" s="58" t="n"/>
      <x:c r="E115" s="56" t="n"/>
      <x:c r="F115" s="56" t="n"/>
      <x:c r="G115" s="56" t="n"/>
      <x:c r="H115" s="56" t="n"/>
      <x:c r="I115" s="56" t="n"/>
      <x:c r="J115" s="56" t="n"/>
      <x:c r="K115" s="56" t="n"/>
      <x:c r="L115" s="58" t="str">
        <x:f>IF(B115="","",173.33)</x:f>
      </x:c>
      <x:c r="M115" s="58" t="str">
        <x:f>IF(OR(D115="",L115=""),"",D115/L115)</x:f>
      </x:c>
      <x:c r="N115" s="76" t="n"/>
      <x:c r="O115" s="76" t="str">
        <x:f>IF(OR(M115="",N115=""),"",M115*N115)</x:f>
      </x:c>
      <x:c r="P115" s="76" t="str">
        <x:f>IF(B115="","",6732)</x:f>
      </x:c>
      <x:c r="Q115" s="76" t="str">
        <x:f>IF(OR(D115="",P115=""),"",D115*P115)</x:f>
      </x:c>
      <x:c r="R115" s="56" t="n"/>
      <x:c r="S115" s="56" t="n"/>
      <x:c r="T115" s="74" t="n"/>
      <x:c r="U115" s="56" t="n"/>
    </x:row>
    <x:row r="116">
      <x:c r="A116" s="61" t="str">
        <x:f>IF(B116="","","TL-"&amp;TEXT(ROW()-4,"0000"))</x:f>
      </x:c>
      <x:c r="B116" s="79" t="n"/>
      <x:c r="C116" s="61" t="n"/>
      <x:c r="D116" s="63" t="n"/>
      <x:c r="E116" s="61" t="n"/>
      <x:c r="F116" s="61" t="n"/>
      <x:c r="G116" s="61" t="n"/>
      <x:c r="H116" s="61" t="n"/>
      <x:c r="I116" s="61" t="n"/>
      <x:c r="J116" s="61" t="n"/>
      <x:c r="K116" s="61" t="n"/>
      <x:c r="L116" s="63" t="str">
        <x:f>IF(B116="","",173.33)</x:f>
      </x:c>
      <x:c r="M116" s="63" t="str">
        <x:f>IF(OR(D116="",L116=""),"",D116/L116)</x:f>
      </x:c>
      <x:c r="N116" s="82" t="n"/>
      <x:c r="O116" s="82" t="str">
        <x:f>IF(OR(M116="",N116=""),"",M116*N116)</x:f>
      </x:c>
      <x:c r="P116" s="82" t="str">
        <x:f>IF(B116="","",6732)</x:f>
      </x:c>
      <x:c r="Q116" s="82" t="str">
        <x:f>IF(OR(D116="",P116=""),"",D116*P116)</x:f>
      </x:c>
      <x:c r="R116" s="61" t="n"/>
      <x:c r="S116" s="61" t="n"/>
      <x:c r="T116" s="79" t="n"/>
      <x:c r="U116" s="61" t="n"/>
    </x:row>
    <x:row r="117">
      <x:c r="A117" s="56" t="str">
        <x:f>IF(B117="","","TL-"&amp;TEXT(ROW()-4,"0000"))</x:f>
      </x:c>
      <x:c r="B117" s="74" t="n"/>
      <x:c r="C117" s="56" t="n"/>
      <x:c r="D117" s="58" t="n"/>
      <x:c r="E117" s="56" t="n"/>
      <x:c r="F117" s="56" t="n"/>
      <x:c r="G117" s="56" t="n"/>
      <x:c r="H117" s="56" t="n"/>
      <x:c r="I117" s="56" t="n"/>
      <x:c r="J117" s="56" t="n"/>
      <x:c r="K117" s="56" t="n"/>
      <x:c r="L117" s="58" t="str">
        <x:f>IF(B117="","",173.33)</x:f>
      </x:c>
      <x:c r="M117" s="58" t="str">
        <x:f>IF(OR(D117="",L117=""),"",D117/L117)</x:f>
      </x:c>
      <x:c r="N117" s="76" t="n"/>
      <x:c r="O117" s="76" t="str">
        <x:f>IF(OR(M117="",N117=""),"",M117*N117)</x:f>
      </x:c>
      <x:c r="P117" s="76" t="str">
        <x:f>IF(B117="","",6732)</x:f>
      </x:c>
      <x:c r="Q117" s="76" t="str">
        <x:f>IF(OR(D117="",P117=""),"",D117*P117)</x:f>
      </x:c>
      <x:c r="R117" s="56" t="n"/>
      <x:c r="S117" s="56" t="n"/>
      <x:c r="T117" s="74" t="n"/>
      <x:c r="U117" s="56" t="n"/>
    </x:row>
    <x:row r="118">
      <x:c r="A118" s="61" t="str">
        <x:f>IF(B118="","","TL-"&amp;TEXT(ROW()-4,"0000"))</x:f>
      </x:c>
      <x:c r="B118" s="79" t="n"/>
      <x:c r="C118" s="61" t="n"/>
      <x:c r="D118" s="63" t="n"/>
      <x:c r="E118" s="61" t="n"/>
      <x:c r="F118" s="61" t="n"/>
      <x:c r="G118" s="61" t="n"/>
      <x:c r="H118" s="61" t="n"/>
      <x:c r="I118" s="61" t="n"/>
      <x:c r="J118" s="61" t="n"/>
      <x:c r="K118" s="61" t="n"/>
      <x:c r="L118" s="63" t="str">
        <x:f>IF(B118="","",173.33)</x:f>
      </x:c>
      <x:c r="M118" s="63" t="str">
        <x:f>IF(OR(D118="",L118=""),"",D118/L118)</x:f>
      </x:c>
      <x:c r="N118" s="82" t="n"/>
      <x:c r="O118" s="82" t="str">
        <x:f>IF(OR(M118="",N118=""),"",M118*N118)</x:f>
      </x:c>
      <x:c r="P118" s="82" t="str">
        <x:f>IF(B118="","",6732)</x:f>
      </x:c>
      <x:c r="Q118" s="82" t="str">
        <x:f>IF(OR(D118="",P118=""),"",D118*P118)</x:f>
      </x:c>
      <x:c r="R118" s="61" t="n"/>
      <x:c r="S118" s="61" t="n"/>
      <x:c r="T118" s="79" t="n"/>
      <x:c r="U118" s="61" t="n"/>
    </x:row>
    <x:row r="119">
      <x:c r="A119" s="56" t="str">
        <x:f>IF(B119="","","TL-"&amp;TEXT(ROW()-4,"0000"))</x:f>
      </x:c>
      <x:c r="B119" s="74" t="n"/>
      <x:c r="C119" s="56" t="n"/>
      <x:c r="D119" s="58" t="n"/>
      <x:c r="E119" s="56" t="n"/>
      <x:c r="F119" s="56" t="n"/>
      <x:c r="G119" s="56" t="n"/>
      <x:c r="H119" s="56" t="n"/>
      <x:c r="I119" s="56" t="n"/>
      <x:c r="J119" s="56" t="n"/>
      <x:c r="K119" s="56" t="n"/>
      <x:c r="L119" s="58" t="str">
        <x:f>IF(B119="","",173.33)</x:f>
      </x:c>
      <x:c r="M119" s="58" t="str">
        <x:f>IF(OR(D119="",L119=""),"",D119/L119)</x:f>
      </x:c>
      <x:c r="N119" s="76" t="n"/>
      <x:c r="O119" s="76" t="str">
        <x:f>IF(OR(M119="",N119=""),"",M119*N119)</x:f>
      </x:c>
      <x:c r="P119" s="76" t="str">
        <x:f>IF(B119="","",6732)</x:f>
      </x:c>
      <x:c r="Q119" s="76" t="str">
        <x:f>IF(OR(D119="",P119=""),"",D119*P119)</x:f>
      </x:c>
      <x:c r="R119" s="56" t="n"/>
      <x:c r="S119" s="56" t="n"/>
      <x:c r="T119" s="74" t="n"/>
      <x:c r="U119" s="56" t="n"/>
    </x:row>
    <x:row r="120">
      <x:c r="A120" s="61" t="str">
        <x:f>IF(B120="","","TL-"&amp;TEXT(ROW()-4,"0000"))</x:f>
      </x:c>
      <x:c r="B120" s="79" t="n"/>
      <x:c r="C120" s="61" t="n"/>
      <x:c r="D120" s="63" t="n"/>
      <x:c r="E120" s="61" t="n"/>
      <x:c r="F120" s="61" t="n"/>
      <x:c r="G120" s="61" t="n"/>
      <x:c r="H120" s="61" t="n"/>
      <x:c r="I120" s="61" t="n"/>
      <x:c r="J120" s="61" t="n"/>
      <x:c r="K120" s="61" t="n"/>
      <x:c r="L120" s="63" t="str">
        <x:f>IF(B120="","",173.33)</x:f>
      </x:c>
      <x:c r="M120" s="63" t="str">
        <x:f>IF(OR(D120="",L120=""),"",D120/L120)</x:f>
      </x:c>
      <x:c r="N120" s="82" t="n"/>
      <x:c r="O120" s="82" t="str">
        <x:f>IF(OR(M120="",N120=""),"",M120*N120)</x:f>
      </x:c>
      <x:c r="P120" s="82" t="str">
        <x:f>IF(B120="","",6732)</x:f>
      </x:c>
      <x:c r="Q120" s="82" t="str">
        <x:f>IF(OR(D120="",P120=""),"",D120*P120)</x:f>
      </x:c>
      <x:c r="R120" s="61" t="n"/>
      <x:c r="S120" s="61" t="n"/>
      <x:c r="T120" s="79" t="n"/>
      <x:c r="U120" s="61" t="n"/>
    </x:row>
    <x:row r="121">
      <x:c r="A121" s="56" t="str">
        <x:f>IF(B121="","","TL-"&amp;TEXT(ROW()-4,"0000"))</x:f>
      </x:c>
      <x:c r="B121" s="74" t="n"/>
      <x:c r="C121" s="56" t="n"/>
      <x:c r="D121" s="58" t="n"/>
      <x:c r="E121" s="56" t="n"/>
      <x:c r="F121" s="56" t="n"/>
      <x:c r="G121" s="56" t="n"/>
      <x:c r="H121" s="56" t="n"/>
      <x:c r="I121" s="56" t="n"/>
      <x:c r="J121" s="56" t="n"/>
      <x:c r="K121" s="56" t="n"/>
      <x:c r="L121" s="58" t="str">
        <x:f>IF(B121="","",173.33)</x:f>
      </x:c>
      <x:c r="M121" s="58" t="str">
        <x:f>IF(OR(D121="",L121=""),"",D121/L121)</x:f>
      </x:c>
      <x:c r="N121" s="76" t="n"/>
      <x:c r="O121" s="76" t="str">
        <x:f>IF(OR(M121="",N121=""),"",M121*N121)</x:f>
      </x:c>
      <x:c r="P121" s="76" t="str">
        <x:f>IF(B121="","",6732)</x:f>
      </x:c>
      <x:c r="Q121" s="76" t="str">
        <x:f>IF(OR(D121="",P121=""),"",D121*P121)</x:f>
      </x:c>
      <x:c r="R121" s="56" t="n"/>
      <x:c r="S121" s="56" t="n"/>
      <x:c r="T121" s="74" t="n"/>
      <x:c r="U121" s="56" t="n"/>
    </x:row>
    <x:row r="122">
      <x:c r="A122" s="61" t="str">
        <x:f>IF(B122="","","TL-"&amp;TEXT(ROW()-4,"0000"))</x:f>
      </x:c>
      <x:c r="B122" s="79" t="n"/>
      <x:c r="C122" s="61" t="n"/>
      <x:c r="D122" s="63" t="n"/>
      <x:c r="E122" s="61" t="n"/>
      <x:c r="F122" s="61" t="n"/>
      <x:c r="G122" s="61" t="n"/>
      <x:c r="H122" s="61" t="n"/>
      <x:c r="I122" s="61" t="n"/>
      <x:c r="J122" s="61" t="n"/>
      <x:c r="K122" s="61" t="n"/>
      <x:c r="L122" s="63" t="str">
        <x:f>IF(B122="","",173.33)</x:f>
      </x:c>
      <x:c r="M122" s="63" t="str">
        <x:f>IF(OR(D122="",L122=""),"",D122/L122)</x:f>
      </x:c>
      <x:c r="N122" s="82" t="n"/>
      <x:c r="O122" s="82" t="str">
        <x:f>IF(OR(M122="",N122=""),"",M122*N122)</x:f>
      </x:c>
      <x:c r="P122" s="82" t="str">
        <x:f>IF(B122="","",6732)</x:f>
      </x:c>
      <x:c r="Q122" s="82" t="str">
        <x:f>IF(OR(D122="",P122=""),"",D122*P122)</x:f>
      </x:c>
      <x:c r="R122" s="61" t="n"/>
      <x:c r="S122" s="61" t="n"/>
      <x:c r="T122" s="79" t="n"/>
      <x:c r="U122" s="61" t="n"/>
    </x:row>
    <x:row r="123">
      <x:c r="A123" s="56" t="str">
        <x:f>IF(B123="","","TL-"&amp;TEXT(ROW()-4,"0000"))</x:f>
      </x:c>
      <x:c r="B123" s="74" t="n"/>
      <x:c r="C123" s="56" t="n"/>
      <x:c r="D123" s="58" t="n"/>
      <x:c r="E123" s="56" t="n"/>
      <x:c r="F123" s="56" t="n"/>
      <x:c r="G123" s="56" t="n"/>
      <x:c r="H123" s="56" t="n"/>
      <x:c r="I123" s="56" t="n"/>
      <x:c r="J123" s="56" t="n"/>
      <x:c r="K123" s="56" t="n"/>
      <x:c r="L123" s="58" t="str">
        <x:f>IF(B123="","",173.33)</x:f>
      </x:c>
      <x:c r="M123" s="58" t="str">
        <x:f>IF(OR(D123="",L123=""),"",D123/L123)</x:f>
      </x:c>
      <x:c r="N123" s="76" t="n"/>
      <x:c r="O123" s="76" t="str">
        <x:f>IF(OR(M123="",N123=""),"",M123*N123)</x:f>
      </x:c>
      <x:c r="P123" s="76" t="str">
        <x:f>IF(B123="","",6732)</x:f>
      </x:c>
      <x:c r="Q123" s="76" t="str">
        <x:f>IF(OR(D123="",P123=""),"",D123*P123)</x:f>
      </x:c>
      <x:c r="R123" s="56" t="n"/>
      <x:c r="S123" s="56" t="n"/>
      <x:c r="T123" s="74" t="n"/>
      <x:c r="U123" s="56" t="n"/>
    </x:row>
    <x:row r="124">
      <x:c r="A124" s="61" t="str">
        <x:f>IF(B124="","","TL-"&amp;TEXT(ROW()-4,"0000"))</x:f>
      </x:c>
      <x:c r="B124" s="79" t="n"/>
      <x:c r="C124" s="61" t="n"/>
      <x:c r="D124" s="63" t="n"/>
      <x:c r="E124" s="61" t="n"/>
      <x:c r="F124" s="61" t="n"/>
      <x:c r="G124" s="61" t="n"/>
      <x:c r="H124" s="61" t="n"/>
      <x:c r="I124" s="61" t="n"/>
      <x:c r="J124" s="61" t="n"/>
      <x:c r="K124" s="61" t="n"/>
      <x:c r="L124" s="63" t="str">
        <x:f>IF(B124="","",173.33)</x:f>
      </x:c>
      <x:c r="M124" s="63" t="str">
        <x:f>IF(OR(D124="",L124=""),"",D124/L124)</x:f>
      </x:c>
      <x:c r="N124" s="82" t="n"/>
      <x:c r="O124" s="82" t="str">
        <x:f>IF(OR(M124="",N124=""),"",M124*N124)</x:f>
      </x:c>
      <x:c r="P124" s="82" t="str">
        <x:f>IF(B124="","",6732)</x:f>
      </x:c>
      <x:c r="Q124" s="82" t="str">
        <x:f>IF(OR(D124="",P124=""),"",D124*P124)</x:f>
      </x:c>
      <x:c r="R124" s="61" t="n"/>
      <x:c r="S124" s="61" t="n"/>
      <x:c r="T124" s="79" t="n"/>
      <x:c r="U124" s="61" t="n"/>
    </x:row>
    <x:row r="125">
      <x:c r="A125" s="56" t="str">
        <x:f>IF(B125="","","TL-"&amp;TEXT(ROW()-4,"0000"))</x:f>
      </x:c>
      <x:c r="B125" s="74" t="n"/>
      <x:c r="C125" s="56" t="n"/>
      <x:c r="D125" s="58" t="n"/>
      <x:c r="E125" s="56" t="n"/>
      <x:c r="F125" s="56" t="n"/>
      <x:c r="G125" s="56" t="n"/>
      <x:c r="H125" s="56" t="n"/>
      <x:c r="I125" s="56" t="n"/>
      <x:c r="J125" s="56" t="n"/>
      <x:c r="K125" s="56" t="n"/>
      <x:c r="L125" s="58" t="str">
        <x:f>IF(B125="","",173.33)</x:f>
      </x:c>
      <x:c r="M125" s="58" t="str">
        <x:f>IF(OR(D125="",L125=""),"",D125/L125)</x:f>
      </x:c>
      <x:c r="N125" s="76" t="n"/>
      <x:c r="O125" s="76" t="str">
        <x:f>IF(OR(M125="",N125=""),"",M125*N125)</x:f>
      </x:c>
      <x:c r="P125" s="76" t="str">
        <x:f>IF(B125="","",6732)</x:f>
      </x:c>
      <x:c r="Q125" s="76" t="str">
        <x:f>IF(OR(D125="",P125=""),"",D125*P125)</x:f>
      </x:c>
      <x:c r="R125" s="56" t="n"/>
      <x:c r="S125" s="56" t="n"/>
      <x:c r="T125" s="74" t="n"/>
      <x:c r="U125" s="56" t="n"/>
    </x:row>
    <x:row r="126">
      <x:c r="A126" s="61" t="str">
        <x:f>IF(B126="","","TL-"&amp;TEXT(ROW()-4,"0000"))</x:f>
      </x:c>
      <x:c r="B126" s="79" t="n"/>
      <x:c r="C126" s="61" t="n"/>
      <x:c r="D126" s="63" t="n"/>
      <x:c r="E126" s="61" t="n"/>
      <x:c r="F126" s="61" t="n"/>
      <x:c r="G126" s="61" t="n"/>
      <x:c r="H126" s="61" t="n"/>
      <x:c r="I126" s="61" t="n"/>
      <x:c r="J126" s="61" t="n"/>
      <x:c r="K126" s="61" t="n"/>
      <x:c r="L126" s="63" t="str">
        <x:f>IF(B126="","",173.33)</x:f>
      </x:c>
      <x:c r="M126" s="63" t="str">
        <x:f>IF(OR(D126="",L126=""),"",D126/L126)</x:f>
      </x:c>
      <x:c r="N126" s="82" t="n"/>
      <x:c r="O126" s="82" t="str">
        <x:f>IF(OR(M126="",N126=""),"",M126*N126)</x:f>
      </x:c>
      <x:c r="P126" s="82" t="str">
        <x:f>IF(B126="","",6732)</x:f>
      </x:c>
      <x:c r="Q126" s="82" t="str">
        <x:f>IF(OR(D126="",P126=""),"",D126*P126)</x:f>
      </x:c>
      <x:c r="R126" s="61" t="n"/>
      <x:c r="S126" s="61" t="n"/>
      <x:c r="T126" s="79" t="n"/>
      <x:c r="U126" s="61" t="n"/>
    </x:row>
    <x:row r="127">
      <x:c r="A127" s="56" t="str">
        <x:f>IF(B127="","","TL-"&amp;TEXT(ROW()-4,"0000"))</x:f>
      </x:c>
      <x:c r="B127" s="74" t="n"/>
      <x:c r="C127" s="56" t="n"/>
      <x:c r="D127" s="58" t="n"/>
      <x:c r="E127" s="56" t="n"/>
      <x:c r="F127" s="56" t="n"/>
      <x:c r="G127" s="56" t="n"/>
      <x:c r="H127" s="56" t="n"/>
      <x:c r="I127" s="56" t="n"/>
      <x:c r="J127" s="56" t="n"/>
      <x:c r="K127" s="56" t="n"/>
      <x:c r="L127" s="58" t="str">
        <x:f>IF(B127="","",173.33)</x:f>
      </x:c>
      <x:c r="M127" s="58" t="str">
        <x:f>IF(OR(D127="",L127=""),"",D127/L127)</x:f>
      </x:c>
      <x:c r="N127" s="76" t="n"/>
      <x:c r="O127" s="76" t="str">
        <x:f>IF(OR(M127="",N127=""),"",M127*N127)</x:f>
      </x:c>
      <x:c r="P127" s="76" t="str">
        <x:f>IF(B127="","",6732)</x:f>
      </x:c>
      <x:c r="Q127" s="76" t="str">
        <x:f>IF(OR(D127="",P127=""),"",D127*P127)</x:f>
      </x:c>
      <x:c r="R127" s="56" t="n"/>
      <x:c r="S127" s="56" t="n"/>
      <x:c r="T127" s="74" t="n"/>
      <x:c r="U127" s="56" t="n"/>
    </x:row>
    <x:row r="128">
      <x:c r="A128" s="61" t="str">
        <x:f>IF(B128="","","TL-"&amp;TEXT(ROW()-4,"0000"))</x:f>
      </x:c>
      <x:c r="B128" s="79" t="n"/>
      <x:c r="C128" s="61" t="n"/>
      <x:c r="D128" s="63" t="n"/>
      <x:c r="E128" s="61" t="n"/>
      <x:c r="F128" s="61" t="n"/>
      <x:c r="G128" s="61" t="n"/>
      <x:c r="H128" s="61" t="n"/>
      <x:c r="I128" s="61" t="n"/>
      <x:c r="J128" s="61" t="n"/>
      <x:c r="K128" s="61" t="n"/>
      <x:c r="L128" s="63" t="str">
        <x:f>IF(B128="","",173.33)</x:f>
      </x:c>
      <x:c r="M128" s="63" t="str">
        <x:f>IF(OR(D128="",L128=""),"",D128/L128)</x:f>
      </x:c>
      <x:c r="N128" s="82" t="n"/>
      <x:c r="O128" s="82" t="str">
        <x:f>IF(OR(M128="",N128=""),"",M128*N128)</x:f>
      </x:c>
      <x:c r="P128" s="82" t="str">
        <x:f>IF(B128="","",6732)</x:f>
      </x:c>
      <x:c r="Q128" s="82" t="str">
        <x:f>IF(OR(D128="",P128=""),"",D128*P128)</x:f>
      </x:c>
      <x:c r="R128" s="61" t="n"/>
      <x:c r="S128" s="61" t="n"/>
      <x:c r="T128" s="79" t="n"/>
      <x:c r="U128" s="61" t="n"/>
    </x:row>
    <x:row r="129">
      <x:c r="A129" s="56" t="str">
        <x:f>IF(B129="","","TL-"&amp;TEXT(ROW()-4,"0000"))</x:f>
      </x:c>
      <x:c r="B129" s="74" t="n"/>
      <x:c r="C129" s="56" t="n"/>
      <x:c r="D129" s="58" t="n"/>
      <x:c r="E129" s="56" t="n"/>
      <x:c r="F129" s="56" t="n"/>
      <x:c r="G129" s="56" t="n"/>
      <x:c r="H129" s="56" t="n"/>
      <x:c r="I129" s="56" t="n"/>
      <x:c r="J129" s="56" t="n"/>
      <x:c r="K129" s="56" t="n"/>
      <x:c r="L129" s="58" t="str">
        <x:f>IF(B129="","",173.33)</x:f>
      </x:c>
      <x:c r="M129" s="58" t="str">
        <x:f>IF(OR(D129="",L129=""),"",D129/L129)</x:f>
      </x:c>
      <x:c r="N129" s="76" t="n"/>
      <x:c r="O129" s="76" t="str">
        <x:f>IF(OR(M129="",N129=""),"",M129*N129)</x:f>
      </x:c>
      <x:c r="P129" s="76" t="str">
        <x:f>IF(B129="","",6732)</x:f>
      </x:c>
      <x:c r="Q129" s="76" t="str">
        <x:f>IF(OR(D129="",P129=""),"",D129*P129)</x:f>
      </x:c>
      <x:c r="R129" s="56" t="n"/>
      <x:c r="S129" s="56" t="n"/>
      <x:c r="T129" s="74" t="n"/>
      <x:c r="U129" s="56" t="n"/>
    </x:row>
    <x:row r="130">
      <x:c r="A130" s="61" t="str">
        <x:f>IF(B130="","","TL-"&amp;TEXT(ROW()-4,"0000"))</x:f>
      </x:c>
      <x:c r="B130" s="79" t="n"/>
      <x:c r="C130" s="61" t="n"/>
      <x:c r="D130" s="63" t="n"/>
      <x:c r="E130" s="61" t="n"/>
      <x:c r="F130" s="61" t="n"/>
      <x:c r="G130" s="61" t="n"/>
      <x:c r="H130" s="61" t="n"/>
      <x:c r="I130" s="61" t="n"/>
      <x:c r="J130" s="61" t="n"/>
      <x:c r="K130" s="61" t="n"/>
      <x:c r="L130" s="63" t="str">
        <x:f>IF(B130="","",173.33)</x:f>
      </x:c>
      <x:c r="M130" s="63" t="str">
        <x:f>IF(OR(D130="",L130=""),"",D130/L130)</x:f>
      </x:c>
      <x:c r="N130" s="82" t="n"/>
      <x:c r="O130" s="82" t="str">
        <x:f>IF(OR(M130="",N130=""),"",M130*N130)</x:f>
      </x:c>
      <x:c r="P130" s="82" t="str">
        <x:f>IF(B130="","",6732)</x:f>
      </x:c>
      <x:c r="Q130" s="82" t="str">
        <x:f>IF(OR(D130="",P130=""),"",D130*P130)</x:f>
      </x:c>
      <x:c r="R130" s="61" t="n"/>
      <x:c r="S130" s="61" t="n"/>
      <x:c r="T130" s="79" t="n"/>
      <x:c r="U130" s="61" t="n"/>
    </x:row>
    <x:row r="131">
      <x:c r="A131" s="56" t="str">
        <x:f>IF(B131="","","TL-"&amp;TEXT(ROW()-4,"0000"))</x:f>
      </x:c>
      <x:c r="B131" s="74" t="n"/>
      <x:c r="C131" s="56" t="n"/>
      <x:c r="D131" s="58" t="n"/>
      <x:c r="E131" s="56" t="n"/>
      <x:c r="F131" s="56" t="n"/>
      <x:c r="G131" s="56" t="n"/>
      <x:c r="H131" s="56" t="n"/>
      <x:c r="I131" s="56" t="n"/>
      <x:c r="J131" s="56" t="n"/>
      <x:c r="K131" s="56" t="n"/>
      <x:c r="L131" s="58" t="str">
        <x:f>IF(B131="","",173.33)</x:f>
      </x:c>
      <x:c r="M131" s="58" t="str">
        <x:f>IF(OR(D131="",L131=""),"",D131/L131)</x:f>
      </x:c>
      <x:c r="N131" s="76" t="n"/>
      <x:c r="O131" s="76" t="str">
        <x:f>IF(OR(M131="",N131=""),"",M131*N131)</x:f>
      </x:c>
      <x:c r="P131" s="76" t="str">
        <x:f>IF(B131="","",6732)</x:f>
      </x:c>
      <x:c r="Q131" s="76" t="str">
        <x:f>IF(OR(D131="",P131=""),"",D131*P131)</x:f>
      </x:c>
      <x:c r="R131" s="56" t="n"/>
      <x:c r="S131" s="56" t="n"/>
      <x:c r="T131" s="74" t="n"/>
      <x:c r="U131" s="56" t="n"/>
    </x:row>
    <x:row r="132">
      <x:c r="A132" s="61" t="str">
        <x:f>IF(B132="","","TL-"&amp;TEXT(ROW()-4,"0000"))</x:f>
      </x:c>
      <x:c r="B132" s="79" t="n"/>
      <x:c r="C132" s="61" t="n"/>
      <x:c r="D132" s="63" t="n"/>
      <x:c r="E132" s="61" t="n"/>
      <x:c r="F132" s="61" t="n"/>
      <x:c r="G132" s="61" t="n"/>
      <x:c r="H132" s="61" t="n"/>
      <x:c r="I132" s="61" t="n"/>
      <x:c r="J132" s="61" t="n"/>
      <x:c r="K132" s="61" t="n"/>
      <x:c r="L132" s="63" t="str">
        <x:f>IF(B132="","",173.33)</x:f>
      </x:c>
      <x:c r="M132" s="63" t="str">
        <x:f>IF(OR(D132="",L132=""),"",D132/L132)</x:f>
      </x:c>
      <x:c r="N132" s="82" t="n"/>
      <x:c r="O132" s="82" t="str">
        <x:f>IF(OR(M132="",N132=""),"",M132*N132)</x:f>
      </x:c>
      <x:c r="P132" s="82" t="str">
        <x:f>IF(B132="","",6732)</x:f>
      </x:c>
      <x:c r="Q132" s="82" t="str">
        <x:f>IF(OR(D132="",P132=""),"",D132*P132)</x:f>
      </x:c>
      <x:c r="R132" s="61" t="n"/>
      <x:c r="S132" s="61" t="n"/>
      <x:c r="T132" s="79" t="n"/>
      <x:c r="U132" s="61" t="n"/>
    </x:row>
    <x:row r="133">
      <x:c r="A133" s="56" t="str">
        <x:f>IF(B133="","","TL-"&amp;TEXT(ROW()-4,"0000"))</x:f>
      </x:c>
      <x:c r="B133" s="74" t="n"/>
      <x:c r="C133" s="56" t="n"/>
      <x:c r="D133" s="58" t="n"/>
      <x:c r="E133" s="56" t="n"/>
      <x:c r="F133" s="56" t="n"/>
      <x:c r="G133" s="56" t="n"/>
      <x:c r="H133" s="56" t="n"/>
      <x:c r="I133" s="56" t="n"/>
      <x:c r="J133" s="56" t="n"/>
      <x:c r="K133" s="56" t="n"/>
      <x:c r="L133" s="58" t="str">
        <x:f>IF(B133="","",173.33)</x:f>
      </x:c>
      <x:c r="M133" s="58" t="str">
        <x:f>IF(OR(D133="",L133=""),"",D133/L133)</x:f>
      </x:c>
      <x:c r="N133" s="76" t="n"/>
      <x:c r="O133" s="76" t="str">
        <x:f>IF(OR(M133="",N133=""),"",M133*N133)</x:f>
      </x:c>
      <x:c r="P133" s="76" t="str">
        <x:f>IF(B133="","",6732)</x:f>
      </x:c>
      <x:c r="Q133" s="76" t="str">
        <x:f>IF(OR(D133="",P133=""),"",D133*P133)</x:f>
      </x:c>
      <x:c r="R133" s="56" t="n"/>
      <x:c r="S133" s="56" t="n"/>
      <x:c r="T133" s="74" t="n"/>
      <x:c r="U133" s="56" t="n"/>
    </x:row>
    <x:row r="134">
      <x:c r="A134" s="61" t="str">
        <x:f>IF(B134="","","TL-"&amp;TEXT(ROW()-4,"0000"))</x:f>
      </x:c>
      <x:c r="B134" s="79" t="n"/>
      <x:c r="C134" s="61" t="n"/>
      <x:c r="D134" s="63" t="n"/>
      <x:c r="E134" s="61" t="n"/>
      <x:c r="F134" s="61" t="n"/>
      <x:c r="G134" s="61" t="n"/>
      <x:c r="H134" s="61" t="n"/>
      <x:c r="I134" s="61" t="n"/>
      <x:c r="J134" s="61" t="n"/>
      <x:c r="K134" s="61" t="n"/>
      <x:c r="L134" s="63" t="str">
        <x:f>IF(B134="","",173.33)</x:f>
      </x:c>
      <x:c r="M134" s="63" t="str">
        <x:f>IF(OR(D134="",L134=""),"",D134/L134)</x:f>
      </x:c>
      <x:c r="N134" s="82" t="n"/>
      <x:c r="O134" s="82" t="str">
        <x:f>IF(OR(M134="",N134=""),"",M134*N134)</x:f>
      </x:c>
      <x:c r="P134" s="82" t="str">
        <x:f>IF(B134="","",6732)</x:f>
      </x:c>
      <x:c r="Q134" s="82" t="str">
        <x:f>IF(OR(D134="",P134=""),"",D134*P134)</x:f>
      </x:c>
      <x:c r="R134" s="61" t="n"/>
      <x:c r="S134" s="61" t="n"/>
      <x:c r="T134" s="79" t="n"/>
      <x:c r="U134" s="61" t="n"/>
    </x:row>
    <x:row r="135">
      <x:c r="A135" s="56" t="str">
        <x:f>IF(B135="","","TL-"&amp;TEXT(ROW()-4,"0000"))</x:f>
      </x:c>
      <x:c r="B135" s="74" t="n"/>
      <x:c r="C135" s="56" t="n"/>
      <x:c r="D135" s="58" t="n"/>
      <x:c r="E135" s="56" t="n"/>
      <x:c r="F135" s="56" t="n"/>
      <x:c r="G135" s="56" t="n"/>
      <x:c r="H135" s="56" t="n"/>
      <x:c r="I135" s="56" t="n"/>
      <x:c r="J135" s="56" t="n"/>
      <x:c r="K135" s="56" t="n"/>
      <x:c r="L135" s="58" t="str">
        <x:f>IF(B135="","",173.33)</x:f>
      </x:c>
      <x:c r="M135" s="58" t="str">
        <x:f>IF(OR(D135="",L135=""),"",D135/L135)</x:f>
      </x:c>
      <x:c r="N135" s="76" t="n"/>
      <x:c r="O135" s="76" t="str">
        <x:f>IF(OR(M135="",N135=""),"",M135*N135)</x:f>
      </x:c>
      <x:c r="P135" s="76" t="str">
        <x:f>IF(B135="","",6732)</x:f>
      </x:c>
      <x:c r="Q135" s="76" t="str">
        <x:f>IF(OR(D135="",P135=""),"",D135*P135)</x:f>
      </x:c>
      <x:c r="R135" s="56" t="n"/>
      <x:c r="S135" s="56" t="n"/>
      <x:c r="T135" s="74" t="n"/>
      <x:c r="U135" s="56" t="n"/>
    </x:row>
    <x:row r="136">
      <x:c r="A136" s="61" t="str">
        <x:f>IF(B136="","","TL-"&amp;TEXT(ROW()-4,"0000"))</x:f>
      </x:c>
      <x:c r="B136" s="79" t="n"/>
      <x:c r="C136" s="61" t="n"/>
      <x:c r="D136" s="63" t="n"/>
      <x:c r="E136" s="61" t="n"/>
      <x:c r="F136" s="61" t="n"/>
      <x:c r="G136" s="61" t="n"/>
      <x:c r="H136" s="61" t="n"/>
      <x:c r="I136" s="61" t="n"/>
      <x:c r="J136" s="61" t="n"/>
      <x:c r="K136" s="61" t="n"/>
      <x:c r="L136" s="63" t="str">
        <x:f>IF(B136="","",173.33)</x:f>
      </x:c>
      <x:c r="M136" s="63" t="str">
        <x:f>IF(OR(D136="",L136=""),"",D136/L136)</x:f>
      </x:c>
      <x:c r="N136" s="82" t="n"/>
      <x:c r="O136" s="82" t="str">
        <x:f>IF(OR(M136="",N136=""),"",M136*N136)</x:f>
      </x:c>
      <x:c r="P136" s="82" t="str">
        <x:f>IF(B136="","",6732)</x:f>
      </x:c>
      <x:c r="Q136" s="82" t="str">
        <x:f>IF(OR(D136="",P136=""),"",D136*P136)</x:f>
      </x:c>
      <x:c r="R136" s="61" t="n"/>
      <x:c r="S136" s="61" t="n"/>
      <x:c r="T136" s="79" t="n"/>
      <x:c r="U136" s="61" t="n"/>
    </x:row>
    <x:row r="137">
      <x:c r="A137" s="56" t="str">
        <x:f>IF(B137="","","TL-"&amp;TEXT(ROW()-4,"0000"))</x:f>
      </x:c>
      <x:c r="B137" s="74" t="n"/>
      <x:c r="C137" s="56" t="n"/>
      <x:c r="D137" s="58" t="n"/>
      <x:c r="E137" s="56" t="n"/>
      <x:c r="F137" s="56" t="n"/>
      <x:c r="G137" s="56" t="n"/>
      <x:c r="H137" s="56" t="n"/>
      <x:c r="I137" s="56" t="n"/>
      <x:c r="J137" s="56" t="n"/>
      <x:c r="K137" s="56" t="n"/>
      <x:c r="L137" s="58" t="str">
        <x:f>IF(B137="","",173.33)</x:f>
      </x:c>
      <x:c r="M137" s="58" t="str">
        <x:f>IF(OR(D137="",L137=""),"",D137/L137)</x:f>
      </x:c>
      <x:c r="N137" s="76" t="n"/>
      <x:c r="O137" s="76" t="str">
        <x:f>IF(OR(M137="",N137=""),"",M137*N137)</x:f>
      </x:c>
      <x:c r="P137" s="76" t="str">
        <x:f>IF(B137="","",6732)</x:f>
      </x:c>
      <x:c r="Q137" s="76" t="str">
        <x:f>IF(OR(D137="",P137=""),"",D137*P137)</x:f>
      </x:c>
      <x:c r="R137" s="56" t="n"/>
      <x:c r="S137" s="56" t="n"/>
      <x:c r="T137" s="74" t="n"/>
      <x:c r="U137" s="56" t="n"/>
    </x:row>
    <x:row r="138">
      <x:c r="A138" s="61" t="str">
        <x:f>IF(B138="","","TL-"&amp;TEXT(ROW()-4,"0000"))</x:f>
      </x:c>
      <x:c r="B138" s="79" t="n"/>
      <x:c r="C138" s="61" t="n"/>
      <x:c r="D138" s="63" t="n"/>
      <x:c r="E138" s="61" t="n"/>
      <x:c r="F138" s="61" t="n"/>
      <x:c r="G138" s="61" t="n"/>
      <x:c r="H138" s="61" t="n"/>
      <x:c r="I138" s="61" t="n"/>
      <x:c r="J138" s="61" t="n"/>
      <x:c r="K138" s="61" t="n"/>
      <x:c r="L138" s="63" t="str">
        <x:f>IF(B138="","",173.33)</x:f>
      </x:c>
      <x:c r="M138" s="63" t="str">
        <x:f>IF(OR(D138="",L138=""),"",D138/L138)</x:f>
      </x:c>
      <x:c r="N138" s="82" t="n"/>
      <x:c r="O138" s="82" t="str">
        <x:f>IF(OR(M138="",N138=""),"",M138*N138)</x:f>
      </x:c>
      <x:c r="P138" s="82" t="str">
        <x:f>IF(B138="","",6732)</x:f>
      </x:c>
      <x:c r="Q138" s="82" t="str">
        <x:f>IF(OR(D138="",P138=""),"",D138*P138)</x:f>
      </x:c>
      <x:c r="R138" s="61" t="n"/>
      <x:c r="S138" s="61" t="n"/>
      <x:c r="T138" s="79" t="n"/>
      <x:c r="U138" s="61" t="n"/>
    </x:row>
    <x:row r="139">
      <x:c r="A139" s="56" t="str">
        <x:f>IF(B139="","","TL-"&amp;TEXT(ROW()-4,"0000"))</x:f>
      </x:c>
      <x:c r="B139" s="74" t="n"/>
      <x:c r="C139" s="56" t="n"/>
      <x:c r="D139" s="58" t="n"/>
      <x:c r="E139" s="56" t="n"/>
      <x:c r="F139" s="56" t="n"/>
      <x:c r="G139" s="56" t="n"/>
      <x:c r="H139" s="56" t="n"/>
      <x:c r="I139" s="56" t="n"/>
      <x:c r="J139" s="56" t="n"/>
      <x:c r="K139" s="56" t="n"/>
      <x:c r="L139" s="58" t="str">
        <x:f>IF(B139="","",173.33)</x:f>
      </x:c>
      <x:c r="M139" s="58" t="str">
        <x:f>IF(OR(D139="",L139=""),"",D139/L139)</x:f>
      </x:c>
      <x:c r="N139" s="76" t="n"/>
      <x:c r="O139" s="76" t="str">
        <x:f>IF(OR(M139="",N139=""),"",M139*N139)</x:f>
      </x:c>
      <x:c r="P139" s="76" t="str">
        <x:f>IF(B139="","",6732)</x:f>
      </x:c>
      <x:c r="Q139" s="76" t="str">
        <x:f>IF(OR(D139="",P139=""),"",D139*P139)</x:f>
      </x:c>
      <x:c r="R139" s="56" t="n"/>
      <x:c r="S139" s="56" t="n"/>
      <x:c r="T139" s="74" t="n"/>
      <x:c r="U139" s="56" t="n"/>
    </x:row>
    <x:row r="140">
      <x:c r="A140" s="61" t="str">
        <x:f>IF(B140="","","TL-"&amp;TEXT(ROW()-4,"0000"))</x:f>
      </x:c>
      <x:c r="B140" s="79" t="n"/>
      <x:c r="C140" s="61" t="n"/>
      <x:c r="D140" s="63" t="n"/>
      <x:c r="E140" s="61" t="n"/>
      <x:c r="F140" s="61" t="n"/>
      <x:c r="G140" s="61" t="n"/>
      <x:c r="H140" s="61" t="n"/>
      <x:c r="I140" s="61" t="n"/>
      <x:c r="J140" s="61" t="n"/>
      <x:c r="K140" s="61" t="n"/>
      <x:c r="L140" s="63" t="str">
        <x:f>IF(B140="","",173.33)</x:f>
      </x:c>
      <x:c r="M140" s="63" t="str">
        <x:f>IF(OR(D140="",L140=""),"",D140/L140)</x:f>
      </x:c>
      <x:c r="N140" s="82" t="n"/>
      <x:c r="O140" s="82" t="str">
        <x:f>IF(OR(M140="",N140=""),"",M140*N140)</x:f>
      </x:c>
      <x:c r="P140" s="82" t="str">
        <x:f>IF(B140="","",6732)</x:f>
      </x:c>
      <x:c r="Q140" s="82" t="str">
        <x:f>IF(OR(D140="",P140=""),"",D140*P140)</x:f>
      </x:c>
      <x:c r="R140" s="61" t="n"/>
      <x:c r="S140" s="61" t="n"/>
      <x:c r="T140" s="79" t="n"/>
      <x:c r="U140" s="61" t="n"/>
    </x:row>
    <x:row r="141">
      <x:c r="A141" s="56" t="str">
        <x:f>IF(B141="","","TL-"&amp;TEXT(ROW()-4,"0000"))</x:f>
      </x:c>
      <x:c r="B141" s="74" t="n"/>
      <x:c r="C141" s="56" t="n"/>
      <x:c r="D141" s="58" t="n"/>
      <x:c r="E141" s="56" t="n"/>
      <x:c r="F141" s="56" t="n"/>
      <x:c r="G141" s="56" t="n"/>
      <x:c r="H141" s="56" t="n"/>
      <x:c r="I141" s="56" t="n"/>
      <x:c r="J141" s="56" t="n"/>
      <x:c r="K141" s="56" t="n"/>
      <x:c r="L141" s="58" t="str">
        <x:f>IF(B141="","",173.33)</x:f>
      </x:c>
      <x:c r="M141" s="58" t="str">
        <x:f>IF(OR(D141="",L141=""),"",D141/L141)</x:f>
      </x:c>
      <x:c r="N141" s="76" t="n"/>
      <x:c r="O141" s="76" t="str">
        <x:f>IF(OR(M141="",N141=""),"",M141*N141)</x:f>
      </x:c>
      <x:c r="P141" s="76" t="str">
        <x:f>IF(B141="","",6732)</x:f>
      </x:c>
      <x:c r="Q141" s="76" t="str">
        <x:f>IF(OR(D141="",P141=""),"",D141*P141)</x:f>
      </x:c>
      <x:c r="R141" s="56" t="n"/>
      <x:c r="S141" s="56" t="n"/>
      <x:c r="T141" s="74" t="n"/>
      <x:c r="U141" s="56" t="n"/>
    </x:row>
    <x:row r="142">
      <x:c r="A142" s="61" t="str">
        <x:f>IF(B142="","","TL-"&amp;TEXT(ROW()-4,"0000"))</x:f>
      </x:c>
      <x:c r="B142" s="79" t="n"/>
      <x:c r="C142" s="61" t="n"/>
      <x:c r="D142" s="63" t="n"/>
      <x:c r="E142" s="61" t="n"/>
      <x:c r="F142" s="61" t="n"/>
      <x:c r="G142" s="61" t="n"/>
      <x:c r="H142" s="61" t="n"/>
      <x:c r="I142" s="61" t="n"/>
      <x:c r="J142" s="61" t="n"/>
      <x:c r="K142" s="61" t="n"/>
      <x:c r="L142" s="63" t="str">
        <x:f>IF(B142="","",173.33)</x:f>
      </x:c>
      <x:c r="M142" s="63" t="str">
        <x:f>IF(OR(D142="",L142=""),"",D142/L142)</x:f>
      </x:c>
      <x:c r="N142" s="82" t="n"/>
      <x:c r="O142" s="82" t="str">
        <x:f>IF(OR(M142="",N142=""),"",M142*N142)</x:f>
      </x:c>
      <x:c r="P142" s="82" t="str">
        <x:f>IF(B142="","",6732)</x:f>
      </x:c>
      <x:c r="Q142" s="82" t="str">
        <x:f>IF(OR(D142="",P142=""),"",D142*P142)</x:f>
      </x:c>
      <x:c r="R142" s="61" t="n"/>
      <x:c r="S142" s="61" t="n"/>
      <x:c r="T142" s="79" t="n"/>
      <x:c r="U142" s="61" t="n"/>
    </x:row>
    <x:row r="143">
      <x:c r="A143" s="56" t="str">
        <x:f>IF(B143="","","TL-"&amp;TEXT(ROW()-4,"0000"))</x:f>
      </x:c>
      <x:c r="B143" s="74" t="n"/>
      <x:c r="C143" s="56" t="n"/>
      <x:c r="D143" s="58" t="n"/>
      <x:c r="E143" s="56" t="n"/>
      <x:c r="F143" s="56" t="n"/>
      <x:c r="G143" s="56" t="n"/>
      <x:c r="H143" s="56" t="n"/>
      <x:c r="I143" s="56" t="n"/>
      <x:c r="J143" s="56" t="n"/>
      <x:c r="K143" s="56" t="n"/>
      <x:c r="L143" s="58" t="str">
        <x:f>IF(B143="","",173.33)</x:f>
      </x:c>
      <x:c r="M143" s="58" t="str">
        <x:f>IF(OR(D143="",L143=""),"",D143/L143)</x:f>
      </x:c>
      <x:c r="N143" s="76" t="n"/>
      <x:c r="O143" s="76" t="str">
        <x:f>IF(OR(M143="",N143=""),"",M143*N143)</x:f>
      </x:c>
      <x:c r="P143" s="76" t="str">
        <x:f>IF(B143="","",6732)</x:f>
      </x:c>
      <x:c r="Q143" s="76" t="str">
        <x:f>IF(OR(D143="",P143=""),"",D143*P143)</x:f>
      </x:c>
      <x:c r="R143" s="56" t="n"/>
      <x:c r="S143" s="56" t="n"/>
      <x:c r="T143" s="74" t="n"/>
      <x:c r="U143" s="56" t="n"/>
    </x:row>
    <x:row r="144">
      <x:c r="A144" s="61" t="str">
        <x:f>IF(B144="","","TL-"&amp;TEXT(ROW()-4,"0000"))</x:f>
      </x:c>
      <x:c r="B144" s="79" t="n"/>
      <x:c r="C144" s="61" t="n"/>
      <x:c r="D144" s="63" t="n"/>
      <x:c r="E144" s="61" t="n"/>
      <x:c r="F144" s="61" t="n"/>
      <x:c r="G144" s="61" t="n"/>
      <x:c r="H144" s="61" t="n"/>
      <x:c r="I144" s="61" t="n"/>
      <x:c r="J144" s="61" t="n"/>
      <x:c r="K144" s="61" t="n"/>
      <x:c r="L144" s="63" t="str">
        <x:f>IF(B144="","",173.33)</x:f>
      </x:c>
      <x:c r="M144" s="63" t="str">
        <x:f>IF(OR(D144="",L144=""),"",D144/L144)</x:f>
      </x:c>
      <x:c r="N144" s="82" t="n"/>
      <x:c r="O144" s="82" t="str">
        <x:f>IF(OR(M144="",N144=""),"",M144*N144)</x:f>
      </x:c>
      <x:c r="P144" s="82" t="str">
        <x:f>IF(B144="","",6732)</x:f>
      </x:c>
      <x:c r="Q144" s="82" t="str">
        <x:f>IF(OR(D144="",P144=""),"",D144*P144)</x:f>
      </x:c>
      <x:c r="R144" s="61" t="n"/>
      <x:c r="S144" s="61" t="n"/>
      <x:c r="T144" s="79" t="n"/>
      <x:c r="U144" s="61" t="n"/>
    </x:row>
    <x:row r="145">
      <x:c r="A145" s="56" t="str">
        <x:f>IF(B145="","","TL-"&amp;TEXT(ROW()-4,"0000"))</x:f>
      </x:c>
      <x:c r="B145" s="74" t="n"/>
      <x:c r="C145" s="56" t="n"/>
      <x:c r="D145" s="58" t="n"/>
      <x:c r="E145" s="56" t="n"/>
      <x:c r="F145" s="56" t="n"/>
      <x:c r="G145" s="56" t="n"/>
      <x:c r="H145" s="56" t="n"/>
      <x:c r="I145" s="56" t="n"/>
      <x:c r="J145" s="56" t="n"/>
      <x:c r="K145" s="56" t="n"/>
      <x:c r="L145" s="58" t="str">
        <x:f>IF(B145="","",173.33)</x:f>
      </x:c>
      <x:c r="M145" s="58" t="str">
        <x:f>IF(OR(D145="",L145=""),"",D145/L145)</x:f>
      </x:c>
      <x:c r="N145" s="76" t="n"/>
      <x:c r="O145" s="76" t="str">
        <x:f>IF(OR(M145="",N145=""),"",M145*N145)</x:f>
      </x:c>
      <x:c r="P145" s="76" t="str">
        <x:f>IF(B145="","",6732)</x:f>
      </x:c>
      <x:c r="Q145" s="76" t="str">
        <x:f>IF(OR(D145="",P145=""),"",D145*P145)</x:f>
      </x:c>
      <x:c r="R145" s="56" t="n"/>
      <x:c r="S145" s="56" t="n"/>
      <x:c r="T145" s="74" t="n"/>
      <x:c r="U145" s="56" t="n"/>
    </x:row>
    <x:row r="146">
      <x:c r="A146" s="61" t="str">
        <x:f>IF(B146="","","TL-"&amp;TEXT(ROW()-4,"0000"))</x:f>
      </x:c>
      <x:c r="B146" s="79" t="n"/>
      <x:c r="C146" s="61" t="n"/>
      <x:c r="D146" s="63" t="n"/>
      <x:c r="E146" s="61" t="n"/>
      <x:c r="F146" s="61" t="n"/>
      <x:c r="G146" s="61" t="n"/>
      <x:c r="H146" s="61" t="n"/>
      <x:c r="I146" s="61" t="n"/>
      <x:c r="J146" s="61" t="n"/>
      <x:c r="K146" s="61" t="n"/>
      <x:c r="L146" s="63" t="str">
        <x:f>IF(B146="","",173.33)</x:f>
      </x:c>
      <x:c r="M146" s="63" t="str">
        <x:f>IF(OR(D146="",L146=""),"",D146/L146)</x:f>
      </x:c>
      <x:c r="N146" s="82" t="n"/>
      <x:c r="O146" s="82" t="str">
        <x:f>IF(OR(M146="",N146=""),"",M146*N146)</x:f>
      </x:c>
      <x:c r="P146" s="82" t="str">
        <x:f>IF(B146="","",6732)</x:f>
      </x:c>
      <x:c r="Q146" s="82" t="str">
        <x:f>IF(OR(D146="",P146=""),"",D146*P146)</x:f>
      </x:c>
      <x:c r="R146" s="61" t="n"/>
      <x:c r="S146" s="61" t="n"/>
      <x:c r="T146" s="79" t="n"/>
      <x:c r="U146" s="61" t="n"/>
    </x:row>
    <x:row r="147">
      <x:c r="A147" s="56" t="str">
        <x:f>IF(B147="","","TL-"&amp;TEXT(ROW()-4,"0000"))</x:f>
      </x:c>
      <x:c r="B147" s="74" t="n"/>
      <x:c r="C147" s="56" t="n"/>
      <x:c r="D147" s="58" t="n"/>
      <x:c r="E147" s="56" t="n"/>
      <x:c r="F147" s="56" t="n"/>
      <x:c r="G147" s="56" t="n"/>
      <x:c r="H147" s="56" t="n"/>
      <x:c r="I147" s="56" t="n"/>
      <x:c r="J147" s="56" t="n"/>
      <x:c r="K147" s="56" t="n"/>
      <x:c r="L147" s="58" t="str">
        <x:f>IF(B147="","",173.33)</x:f>
      </x:c>
      <x:c r="M147" s="58" t="str">
        <x:f>IF(OR(D147="",L147=""),"",D147/L147)</x:f>
      </x:c>
      <x:c r="N147" s="76" t="n"/>
      <x:c r="O147" s="76" t="str">
        <x:f>IF(OR(M147="",N147=""),"",M147*N147)</x:f>
      </x:c>
      <x:c r="P147" s="76" t="str">
        <x:f>IF(B147="","",6732)</x:f>
      </x:c>
      <x:c r="Q147" s="76" t="str">
        <x:f>IF(OR(D147="",P147=""),"",D147*P147)</x:f>
      </x:c>
      <x:c r="R147" s="56" t="n"/>
      <x:c r="S147" s="56" t="n"/>
      <x:c r="T147" s="74" t="n"/>
      <x:c r="U147" s="56" t="n"/>
    </x:row>
    <x:row r="148">
      <x:c r="A148" s="61" t="str">
        <x:f>IF(B148="","","TL-"&amp;TEXT(ROW()-4,"0000"))</x:f>
      </x:c>
      <x:c r="B148" s="79" t="n"/>
      <x:c r="C148" s="61" t="n"/>
      <x:c r="D148" s="63" t="n"/>
      <x:c r="E148" s="61" t="n"/>
      <x:c r="F148" s="61" t="n"/>
      <x:c r="G148" s="61" t="n"/>
      <x:c r="H148" s="61" t="n"/>
      <x:c r="I148" s="61" t="n"/>
      <x:c r="J148" s="61" t="n"/>
      <x:c r="K148" s="61" t="n"/>
      <x:c r="L148" s="63" t="str">
        <x:f>IF(B148="","",173.33)</x:f>
      </x:c>
      <x:c r="M148" s="63" t="str">
        <x:f>IF(OR(D148="",L148=""),"",D148/L148)</x:f>
      </x:c>
      <x:c r="N148" s="82" t="n"/>
      <x:c r="O148" s="82" t="str">
        <x:f>IF(OR(M148="",N148=""),"",M148*N148)</x:f>
      </x:c>
      <x:c r="P148" s="82" t="str">
        <x:f>IF(B148="","",6732)</x:f>
      </x:c>
      <x:c r="Q148" s="82" t="str">
        <x:f>IF(OR(D148="",P148=""),"",D148*P148)</x:f>
      </x:c>
      <x:c r="R148" s="61" t="n"/>
      <x:c r="S148" s="61" t="n"/>
      <x:c r="T148" s="79" t="n"/>
      <x:c r="U148" s="61" t="n"/>
    </x:row>
    <x:row r="149">
      <x:c r="A149" s="56" t="str">
        <x:f>IF(B149="","","TL-"&amp;TEXT(ROW()-4,"0000"))</x:f>
      </x:c>
      <x:c r="B149" s="74" t="n"/>
      <x:c r="C149" s="56" t="n"/>
      <x:c r="D149" s="58" t="n"/>
      <x:c r="E149" s="56" t="n"/>
      <x:c r="F149" s="56" t="n"/>
      <x:c r="G149" s="56" t="n"/>
      <x:c r="H149" s="56" t="n"/>
      <x:c r="I149" s="56" t="n"/>
      <x:c r="J149" s="56" t="n"/>
      <x:c r="K149" s="56" t="n"/>
      <x:c r="L149" s="58" t="str">
        <x:f>IF(B149="","",173.33)</x:f>
      </x:c>
      <x:c r="M149" s="58" t="str">
        <x:f>IF(OR(D149="",L149=""),"",D149/L149)</x:f>
      </x:c>
      <x:c r="N149" s="76" t="n"/>
      <x:c r="O149" s="76" t="str">
        <x:f>IF(OR(M149="",N149=""),"",M149*N149)</x:f>
      </x:c>
      <x:c r="P149" s="76" t="str">
        <x:f>IF(B149="","",6732)</x:f>
      </x:c>
      <x:c r="Q149" s="76" t="str">
        <x:f>IF(OR(D149="",P149=""),"",D149*P149)</x:f>
      </x:c>
      <x:c r="R149" s="56" t="n"/>
      <x:c r="S149" s="56" t="n"/>
      <x:c r="T149" s="74" t="n"/>
      <x:c r="U149" s="56" t="n"/>
    </x:row>
    <x:row r="150">
      <x:c r="A150" s="61" t="str">
        <x:f>IF(B150="","","TL-"&amp;TEXT(ROW()-4,"0000"))</x:f>
      </x:c>
      <x:c r="B150" s="79" t="n"/>
      <x:c r="C150" s="61" t="n"/>
      <x:c r="D150" s="63" t="n"/>
      <x:c r="E150" s="61" t="n"/>
      <x:c r="F150" s="61" t="n"/>
      <x:c r="G150" s="61" t="n"/>
      <x:c r="H150" s="61" t="n"/>
      <x:c r="I150" s="61" t="n"/>
      <x:c r="J150" s="61" t="n"/>
      <x:c r="K150" s="61" t="n"/>
      <x:c r="L150" s="63" t="str">
        <x:f>IF(B150="","",173.33)</x:f>
      </x:c>
      <x:c r="M150" s="63" t="str">
        <x:f>IF(OR(D150="",L150=""),"",D150/L150)</x:f>
      </x:c>
      <x:c r="N150" s="82" t="n"/>
      <x:c r="O150" s="82" t="str">
        <x:f>IF(OR(M150="",N150=""),"",M150*N150)</x:f>
      </x:c>
      <x:c r="P150" s="82" t="str">
        <x:f>IF(B150="","",6732)</x:f>
      </x:c>
      <x:c r="Q150" s="82" t="str">
        <x:f>IF(OR(D150="",P150=""),"",D150*P150)</x:f>
      </x:c>
      <x:c r="R150" s="61" t="n"/>
      <x:c r="S150" s="61" t="n"/>
      <x:c r="T150" s="79" t="n"/>
      <x:c r="U150" s="61" t="n"/>
    </x:row>
    <x:row r="151">
      <x:c r="A151" s="56" t="str">
        <x:f>IF(B151="","","TL-"&amp;TEXT(ROW()-4,"0000"))</x:f>
      </x:c>
      <x:c r="B151" s="74" t="n"/>
      <x:c r="C151" s="56" t="n"/>
      <x:c r="D151" s="58" t="n"/>
      <x:c r="E151" s="56" t="n"/>
      <x:c r="F151" s="56" t="n"/>
      <x:c r="G151" s="56" t="n"/>
      <x:c r="H151" s="56" t="n"/>
      <x:c r="I151" s="56" t="n"/>
      <x:c r="J151" s="56" t="n"/>
      <x:c r="K151" s="56" t="n"/>
      <x:c r="L151" s="58" t="str">
        <x:f>IF(B151="","",173.33)</x:f>
      </x:c>
      <x:c r="M151" s="58" t="str">
        <x:f>IF(OR(D151="",L151=""),"",D151/L151)</x:f>
      </x:c>
      <x:c r="N151" s="76" t="n"/>
      <x:c r="O151" s="76" t="str">
        <x:f>IF(OR(M151="",N151=""),"",M151*N151)</x:f>
      </x:c>
      <x:c r="P151" s="76" t="str">
        <x:f>IF(B151="","",6732)</x:f>
      </x:c>
      <x:c r="Q151" s="76" t="str">
        <x:f>IF(OR(D151="",P151=""),"",D151*P151)</x:f>
      </x:c>
      <x:c r="R151" s="56" t="n"/>
      <x:c r="S151" s="56" t="n"/>
      <x:c r="T151" s="74" t="n"/>
      <x:c r="U151" s="56" t="n"/>
    </x:row>
    <x:row r="152">
      <x:c r="A152" s="61" t="str">
        <x:f>IF(B152="","","TL-"&amp;TEXT(ROW()-4,"0000"))</x:f>
      </x:c>
      <x:c r="B152" s="79" t="n"/>
      <x:c r="C152" s="61" t="n"/>
      <x:c r="D152" s="63" t="n"/>
      <x:c r="E152" s="61" t="n"/>
      <x:c r="F152" s="61" t="n"/>
      <x:c r="G152" s="61" t="n"/>
      <x:c r="H152" s="61" t="n"/>
      <x:c r="I152" s="61" t="n"/>
      <x:c r="J152" s="61" t="n"/>
      <x:c r="K152" s="61" t="n"/>
      <x:c r="L152" s="63" t="str">
        <x:f>IF(B152="","",173.33)</x:f>
      </x:c>
      <x:c r="M152" s="63" t="str">
        <x:f>IF(OR(D152="",L152=""),"",D152/L152)</x:f>
      </x:c>
      <x:c r="N152" s="82" t="n"/>
      <x:c r="O152" s="82" t="str">
        <x:f>IF(OR(M152="",N152=""),"",M152*N152)</x:f>
      </x:c>
      <x:c r="P152" s="82" t="str">
        <x:f>IF(B152="","",6732)</x:f>
      </x:c>
      <x:c r="Q152" s="82" t="str">
        <x:f>IF(OR(D152="",P152=""),"",D152*P152)</x:f>
      </x:c>
      <x:c r="R152" s="61" t="n"/>
      <x:c r="S152" s="61" t="n"/>
      <x:c r="T152" s="79" t="n"/>
      <x:c r="U152" s="61" t="n"/>
    </x:row>
    <x:row r="153">
      <x:c r="A153" s="56" t="str">
        <x:f>IF(B153="","","TL-"&amp;TEXT(ROW()-4,"0000"))</x:f>
      </x:c>
      <x:c r="B153" s="74" t="n"/>
      <x:c r="C153" s="56" t="n"/>
      <x:c r="D153" s="58" t="n"/>
      <x:c r="E153" s="56" t="n"/>
      <x:c r="F153" s="56" t="n"/>
      <x:c r="G153" s="56" t="n"/>
      <x:c r="H153" s="56" t="n"/>
      <x:c r="I153" s="56" t="n"/>
      <x:c r="J153" s="56" t="n"/>
      <x:c r="K153" s="56" t="n"/>
      <x:c r="L153" s="58" t="str">
        <x:f>IF(B153="","",173.33)</x:f>
      </x:c>
      <x:c r="M153" s="58" t="str">
        <x:f>IF(OR(D153="",L153=""),"",D153/L153)</x:f>
      </x:c>
      <x:c r="N153" s="76" t="n"/>
      <x:c r="O153" s="76" t="str">
        <x:f>IF(OR(M153="",N153=""),"",M153*N153)</x:f>
      </x:c>
      <x:c r="P153" s="76" t="str">
        <x:f>IF(B153="","",6732)</x:f>
      </x:c>
      <x:c r="Q153" s="76" t="str">
        <x:f>IF(OR(D153="",P153=""),"",D153*P153)</x:f>
      </x:c>
      <x:c r="R153" s="56" t="n"/>
      <x:c r="S153" s="56" t="n"/>
      <x:c r="T153" s="74" t="n"/>
      <x:c r="U153" s="56" t="n"/>
    </x:row>
    <x:row r="154">
      <x:c r="A154" s="61" t="str">
        <x:f>IF(B154="","","TL-"&amp;TEXT(ROW()-4,"0000"))</x:f>
      </x:c>
      <x:c r="B154" s="79" t="n"/>
      <x:c r="C154" s="61" t="n"/>
      <x:c r="D154" s="63" t="n"/>
      <x:c r="E154" s="61" t="n"/>
      <x:c r="F154" s="61" t="n"/>
      <x:c r="G154" s="61" t="n"/>
      <x:c r="H154" s="61" t="n"/>
      <x:c r="I154" s="61" t="n"/>
      <x:c r="J154" s="61" t="n"/>
      <x:c r="K154" s="61" t="n"/>
      <x:c r="L154" s="63" t="str">
        <x:f>IF(B154="","",173.33)</x:f>
      </x:c>
      <x:c r="M154" s="63" t="str">
        <x:f>IF(OR(D154="",L154=""),"",D154/L154)</x:f>
      </x:c>
      <x:c r="N154" s="82" t="n"/>
      <x:c r="O154" s="82" t="str">
        <x:f>IF(OR(M154="",N154=""),"",M154*N154)</x:f>
      </x:c>
      <x:c r="P154" s="82" t="str">
        <x:f>IF(B154="","",6732)</x:f>
      </x:c>
      <x:c r="Q154" s="82" t="str">
        <x:f>IF(OR(D154="",P154=""),"",D154*P154)</x:f>
      </x:c>
      <x:c r="R154" s="61" t="n"/>
      <x:c r="S154" s="61" t="n"/>
      <x:c r="T154" s="79" t="n"/>
      <x:c r="U154" s="61" t="n"/>
    </x:row>
    <x:row r="155">
      <x:c r="A155" s="56" t="str">
        <x:f>IF(B155="","","TL-"&amp;TEXT(ROW()-4,"0000"))</x:f>
      </x:c>
      <x:c r="B155" s="74" t="n"/>
      <x:c r="C155" s="56" t="n"/>
      <x:c r="D155" s="58" t="n"/>
      <x:c r="E155" s="56" t="n"/>
      <x:c r="F155" s="56" t="n"/>
      <x:c r="G155" s="56" t="n"/>
      <x:c r="H155" s="56" t="n"/>
      <x:c r="I155" s="56" t="n"/>
      <x:c r="J155" s="56" t="n"/>
      <x:c r="K155" s="56" t="n"/>
      <x:c r="L155" s="58" t="str">
        <x:f>IF(B155="","",173.33)</x:f>
      </x:c>
      <x:c r="M155" s="58" t="str">
        <x:f>IF(OR(D155="",L155=""),"",D155/L155)</x:f>
      </x:c>
      <x:c r="N155" s="76" t="n"/>
      <x:c r="O155" s="76" t="str">
        <x:f>IF(OR(M155="",N155=""),"",M155*N155)</x:f>
      </x:c>
      <x:c r="P155" s="76" t="str">
        <x:f>IF(B155="","",6732)</x:f>
      </x:c>
      <x:c r="Q155" s="76" t="str">
        <x:f>IF(OR(D155="",P155=""),"",D155*P155)</x:f>
      </x:c>
      <x:c r="R155" s="56" t="n"/>
      <x:c r="S155" s="56" t="n"/>
      <x:c r="T155" s="74" t="n"/>
      <x:c r="U155" s="56" t="n"/>
    </x:row>
    <x:row r="156">
      <x:c r="A156" s="61" t="str">
        <x:f>IF(B156="","","TL-"&amp;TEXT(ROW()-4,"0000"))</x:f>
      </x:c>
      <x:c r="B156" s="79" t="n"/>
      <x:c r="C156" s="61" t="n"/>
      <x:c r="D156" s="63" t="n"/>
      <x:c r="E156" s="61" t="n"/>
      <x:c r="F156" s="61" t="n"/>
      <x:c r="G156" s="61" t="n"/>
      <x:c r="H156" s="61" t="n"/>
      <x:c r="I156" s="61" t="n"/>
      <x:c r="J156" s="61" t="n"/>
      <x:c r="K156" s="61" t="n"/>
      <x:c r="L156" s="63" t="str">
        <x:f>IF(B156="","",173.33)</x:f>
      </x:c>
      <x:c r="M156" s="63" t="str">
        <x:f>IF(OR(D156="",L156=""),"",D156/L156)</x:f>
      </x:c>
      <x:c r="N156" s="82" t="n"/>
      <x:c r="O156" s="82" t="str">
        <x:f>IF(OR(M156="",N156=""),"",M156*N156)</x:f>
      </x:c>
      <x:c r="P156" s="82" t="str">
        <x:f>IF(B156="","",6732)</x:f>
      </x:c>
      <x:c r="Q156" s="82" t="str">
        <x:f>IF(OR(D156="",P156=""),"",D156*P156)</x:f>
      </x:c>
      <x:c r="R156" s="61" t="n"/>
      <x:c r="S156" s="61" t="n"/>
      <x:c r="T156" s="79" t="n"/>
      <x:c r="U156" s="61" t="n"/>
    </x:row>
    <x:row r="157">
      <x:c r="A157" s="56" t="str">
        <x:f>IF(B157="","","TL-"&amp;TEXT(ROW()-4,"0000"))</x:f>
      </x:c>
      <x:c r="B157" s="74" t="n"/>
      <x:c r="C157" s="56" t="n"/>
      <x:c r="D157" s="58" t="n"/>
      <x:c r="E157" s="56" t="n"/>
      <x:c r="F157" s="56" t="n"/>
      <x:c r="G157" s="56" t="n"/>
      <x:c r="H157" s="56" t="n"/>
      <x:c r="I157" s="56" t="n"/>
      <x:c r="J157" s="56" t="n"/>
      <x:c r="K157" s="56" t="n"/>
      <x:c r="L157" s="58" t="str">
        <x:f>IF(B157="","",173.33)</x:f>
      </x:c>
      <x:c r="M157" s="58" t="str">
        <x:f>IF(OR(D157="",L157=""),"",D157/L157)</x:f>
      </x:c>
      <x:c r="N157" s="76" t="n"/>
      <x:c r="O157" s="76" t="str">
        <x:f>IF(OR(M157="",N157=""),"",M157*N157)</x:f>
      </x:c>
      <x:c r="P157" s="76" t="str">
        <x:f>IF(B157="","",6732)</x:f>
      </x:c>
      <x:c r="Q157" s="76" t="str">
        <x:f>IF(OR(D157="",P157=""),"",D157*P157)</x:f>
      </x:c>
      <x:c r="R157" s="56" t="n"/>
      <x:c r="S157" s="56" t="n"/>
      <x:c r="T157" s="74" t="n"/>
      <x:c r="U157" s="56" t="n"/>
    </x:row>
    <x:row r="158">
      <x:c r="A158" s="61" t="str">
        <x:f>IF(B158="","","TL-"&amp;TEXT(ROW()-4,"0000"))</x:f>
      </x:c>
      <x:c r="B158" s="79" t="n"/>
      <x:c r="C158" s="61" t="n"/>
      <x:c r="D158" s="63" t="n"/>
      <x:c r="E158" s="61" t="n"/>
      <x:c r="F158" s="61" t="n"/>
      <x:c r="G158" s="61" t="n"/>
      <x:c r="H158" s="61" t="n"/>
      <x:c r="I158" s="61" t="n"/>
      <x:c r="J158" s="61" t="n"/>
      <x:c r="K158" s="61" t="n"/>
      <x:c r="L158" s="63" t="str">
        <x:f>IF(B158="","",173.33)</x:f>
      </x:c>
      <x:c r="M158" s="63" t="str">
        <x:f>IF(OR(D158="",L158=""),"",D158/L158)</x:f>
      </x:c>
      <x:c r="N158" s="82" t="n"/>
      <x:c r="O158" s="82" t="str">
        <x:f>IF(OR(M158="",N158=""),"",M158*N158)</x:f>
      </x:c>
      <x:c r="P158" s="82" t="str">
        <x:f>IF(B158="","",6732)</x:f>
      </x:c>
      <x:c r="Q158" s="82" t="str">
        <x:f>IF(OR(D158="",P158=""),"",D158*P158)</x:f>
      </x:c>
      <x:c r="R158" s="61" t="n"/>
      <x:c r="S158" s="61" t="n"/>
      <x:c r="T158" s="79" t="n"/>
      <x:c r="U158" s="61" t="n"/>
    </x:row>
    <x:row r="159">
      <x:c r="A159" s="56" t="str">
        <x:f>IF(B159="","","TL-"&amp;TEXT(ROW()-4,"0000"))</x:f>
      </x:c>
      <x:c r="B159" s="74" t="n"/>
      <x:c r="C159" s="56" t="n"/>
      <x:c r="D159" s="58" t="n"/>
      <x:c r="E159" s="56" t="n"/>
      <x:c r="F159" s="56" t="n"/>
      <x:c r="G159" s="56" t="n"/>
      <x:c r="H159" s="56" t="n"/>
      <x:c r="I159" s="56" t="n"/>
      <x:c r="J159" s="56" t="n"/>
      <x:c r="K159" s="56" t="n"/>
      <x:c r="L159" s="58" t="str">
        <x:f>IF(B159="","",173.33)</x:f>
      </x:c>
      <x:c r="M159" s="58" t="str">
        <x:f>IF(OR(D159="",L159=""),"",D159/L159)</x:f>
      </x:c>
      <x:c r="N159" s="76" t="n"/>
      <x:c r="O159" s="76" t="str">
        <x:f>IF(OR(M159="",N159=""),"",M159*N159)</x:f>
      </x:c>
      <x:c r="P159" s="76" t="str">
        <x:f>IF(B159="","",6732)</x:f>
      </x:c>
      <x:c r="Q159" s="76" t="str">
        <x:f>IF(OR(D159="",P159=""),"",D159*P159)</x:f>
      </x:c>
      <x:c r="R159" s="56" t="n"/>
      <x:c r="S159" s="56" t="n"/>
      <x:c r="T159" s="74" t="n"/>
      <x:c r="U159" s="56" t="n"/>
    </x:row>
    <x:row r="160">
      <x:c r="A160" s="61" t="str">
        <x:f>IF(B160="","","TL-"&amp;TEXT(ROW()-4,"0000"))</x:f>
      </x:c>
      <x:c r="B160" s="79" t="n"/>
      <x:c r="C160" s="61" t="n"/>
      <x:c r="D160" s="63" t="n"/>
      <x:c r="E160" s="61" t="n"/>
      <x:c r="F160" s="61" t="n"/>
      <x:c r="G160" s="61" t="n"/>
      <x:c r="H160" s="61" t="n"/>
      <x:c r="I160" s="61" t="n"/>
      <x:c r="J160" s="61" t="n"/>
      <x:c r="K160" s="61" t="n"/>
      <x:c r="L160" s="63" t="str">
        <x:f>IF(B160="","",173.33)</x:f>
      </x:c>
      <x:c r="M160" s="63" t="str">
        <x:f>IF(OR(D160="",L160=""),"",D160/L160)</x:f>
      </x:c>
      <x:c r="N160" s="82" t="n"/>
      <x:c r="O160" s="82" t="str">
        <x:f>IF(OR(M160="",N160=""),"",M160*N160)</x:f>
      </x:c>
      <x:c r="P160" s="82" t="str">
        <x:f>IF(B160="","",6732)</x:f>
      </x:c>
      <x:c r="Q160" s="82" t="str">
        <x:f>IF(OR(D160="",P160=""),"",D160*P160)</x:f>
      </x:c>
      <x:c r="R160" s="61" t="n"/>
      <x:c r="S160" s="61" t="n"/>
      <x:c r="T160" s="79" t="n"/>
      <x:c r="U160" s="61" t="n"/>
    </x:row>
    <x:row r="161">
      <x:c r="A161" s="56" t="str">
        <x:f>IF(B161="","","TL-"&amp;TEXT(ROW()-4,"0000"))</x:f>
      </x:c>
      <x:c r="B161" s="74" t="n"/>
      <x:c r="C161" s="56" t="n"/>
      <x:c r="D161" s="58" t="n"/>
      <x:c r="E161" s="56" t="n"/>
      <x:c r="F161" s="56" t="n"/>
      <x:c r="G161" s="56" t="n"/>
      <x:c r="H161" s="56" t="n"/>
      <x:c r="I161" s="56" t="n"/>
      <x:c r="J161" s="56" t="n"/>
      <x:c r="K161" s="56" t="n"/>
      <x:c r="L161" s="58" t="str">
        <x:f>IF(B161="","",173.33)</x:f>
      </x:c>
      <x:c r="M161" s="58" t="str">
        <x:f>IF(OR(D161="",L161=""),"",D161/L161)</x:f>
      </x:c>
      <x:c r="N161" s="76" t="n"/>
      <x:c r="O161" s="76" t="str">
        <x:f>IF(OR(M161="",N161=""),"",M161*N161)</x:f>
      </x:c>
      <x:c r="P161" s="76" t="str">
        <x:f>IF(B161="","",6732)</x:f>
      </x:c>
      <x:c r="Q161" s="76" t="str">
        <x:f>IF(OR(D161="",P161=""),"",D161*P161)</x:f>
      </x:c>
      <x:c r="R161" s="56" t="n"/>
      <x:c r="S161" s="56" t="n"/>
      <x:c r="T161" s="74" t="n"/>
      <x:c r="U161" s="56" t="n"/>
    </x:row>
    <x:row r="162">
      <x:c r="A162" s="61" t="str">
        <x:f>IF(B162="","","TL-"&amp;TEXT(ROW()-4,"0000"))</x:f>
      </x:c>
      <x:c r="B162" s="79" t="n"/>
      <x:c r="C162" s="61" t="n"/>
      <x:c r="D162" s="63" t="n"/>
      <x:c r="E162" s="61" t="n"/>
      <x:c r="F162" s="61" t="n"/>
      <x:c r="G162" s="61" t="n"/>
      <x:c r="H162" s="61" t="n"/>
      <x:c r="I162" s="61" t="n"/>
      <x:c r="J162" s="61" t="n"/>
      <x:c r="K162" s="61" t="n"/>
      <x:c r="L162" s="63" t="str">
        <x:f>IF(B162="","",173.33)</x:f>
      </x:c>
      <x:c r="M162" s="63" t="str">
        <x:f>IF(OR(D162="",L162=""),"",D162/L162)</x:f>
      </x:c>
      <x:c r="N162" s="82" t="n"/>
      <x:c r="O162" s="82" t="str">
        <x:f>IF(OR(M162="",N162=""),"",M162*N162)</x:f>
      </x:c>
      <x:c r="P162" s="82" t="str">
        <x:f>IF(B162="","",6732)</x:f>
      </x:c>
      <x:c r="Q162" s="82" t="str">
        <x:f>IF(OR(D162="",P162=""),"",D162*P162)</x:f>
      </x:c>
      <x:c r="R162" s="61" t="n"/>
      <x:c r="S162" s="61" t="n"/>
      <x:c r="T162" s="79" t="n"/>
      <x:c r="U162" s="61" t="n"/>
    </x:row>
    <x:row r="163">
      <x:c r="A163" s="56" t="str">
        <x:f>IF(B163="","","TL-"&amp;TEXT(ROW()-4,"0000"))</x:f>
      </x:c>
      <x:c r="B163" s="74" t="n"/>
      <x:c r="C163" s="56" t="n"/>
      <x:c r="D163" s="58" t="n"/>
      <x:c r="E163" s="56" t="n"/>
      <x:c r="F163" s="56" t="n"/>
      <x:c r="G163" s="56" t="n"/>
      <x:c r="H163" s="56" t="n"/>
      <x:c r="I163" s="56" t="n"/>
      <x:c r="J163" s="56" t="n"/>
      <x:c r="K163" s="56" t="n"/>
      <x:c r="L163" s="58" t="str">
        <x:f>IF(B163="","",173.33)</x:f>
      </x:c>
      <x:c r="M163" s="58" t="str">
        <x:f>IF(OR(D163="",L163=""),"",D163/L163)</x:f>
      </x:c>
      <x:c r="N163" s="76" t="n"/>
      <x:c r="O163" s="76" t="str">
        <x:f>IF(OR(M163="",N163=""),"",M163*N163)</x:f>
      </x:c>
      <x:c r="P163" s="76" t="str">
        <x:f>IF(B163="","",6732)</x:f>
      </x:c>
      <x:c r="Q163" s="76" t="str">
        <x:f>IF(OR(D163="",P163=""),"",D163*P163)</x:f>
      </x:c>
      <x:c r="R163" s="56" t="n"/>
      <x:c r="S163" s="56" t="n"/>
      <x:c r="T163" s="74" t="n"/>
      <x:c r="U163" s="56" t="n"/>
    </x:row>
    <x:row r="164">
      <x:c r="A164" s="61" t="str">
        <x:f>IF(B164="","","TL-"&amp;TEXT(ROW()-4,"0000"))</x:f>
      </x:c>
      <x:c r="B164" s="79" t="n"/>
      <x:c r="C164" s="61" t="n"/>
      <x:c r="D164" s="63" t="n"/>
      <x:c r="E164" s="61" t="n"/>
      <x:c r="F164" s="61" t="n"/>
      <x:c r="G164" s="61" t="n"/>
      <x:c r="H164" s="61" t="n"/>
      <x:c r="I164" s="61" t="n"/>
      <x:c r="J164" s="61" t="n"/>
      <x:c r="K164" s="61" t="n"/>
      <x:c r="L164" s="63" t="str">
        <x:f>IF(B164="","",173.33)</x:f>
      </x:c>
      <x:c r="M164" s="63" t="str">
        <x:f>IF(OR(D164="",L164=""),"",D164/L164)</x:f>
      </x:c>
      <x:c r="N164" s="82" t="n"/>
      <x:c r="O164" s="82" t="str">
        <x:f>IF(OR(M164="",N164=""),"",M164*N164)</x:f>
      </x:c>
      <x:c r="P164" s="82" t="str">
        <x:f>IF(B164="","",6732)</x:f>
      </x:c>
      <x:c r="Q164" s="82" t="str">
        <x:f>IF(OR(D164="",P164=""),"",D164*P164)</x:f>
      </x:c>
      <x:c r="R164" s="61" t="n"/>
      <x:c r="S164" s="61" t="n"/>
      <x:c r="T164" s="79" t="n"/>
      <x:c r="U164" s="61" t="n"/>
    </x:row>
    <x:row r="165">
      <x:c r="A165" s="56" t="str">
        <x:f>IF(B165="","","TL-"&amp;TEXT(ROW()-4,"0000"))</x:f>
      </x:c>
      <x:c r="B165" s="74" t="n"/>
      <x:c r="C165" s="56" t="n"/>
      <x:c r="D165" s="58" t="n"/>
      <x:c r="E165" s="56" t="n"/>
      <x:c r="F165" s="56" t="n"/>
      <x:c r="G165" s="56" t="n"/>
      <x:c r="H165" s="56" t="n"/>
      <x:c r="I165" s="56" t="n"/>
      <x:c r="J165" s="56" t="n"/>
      <x:c r="K165" s="56" t="n"/>
      <x:c r="L165" s="58" t="str">
        <x:f>IF(B165="","",173.33)</x:f>
      </x:c>
      <x:c r="M165" s="58" t="str">
        <x:f>IF(OR(D165="",L165=""),"",D165/L165)</x:f>
      </x:c>
      <x:c r="N165" s="76" t="n"/>
      <x:c r="O165" s="76" t="str">
        <x:f>IF(OR(M165="",N165=""),"",M165*N165)</x:f>
      </x:c>
      <x:c r="P165" s="76" t="str">
        <x:f>IF(B165="","",6732)</x:f>
      </x:c>
      <x:c r="Q165" s="76" t="str">
        <x:f>IF(OR(D165="",P165=""),"",D165*P165)</x:f>
      </x:c>
      <x:c r="R165" s="56" t="n"/>
      <x:c r="S165" s="56" t="n"/>
      <x:c r="T165" s="74" t="n"/>
      <x:c r="U165" s="56" t="n"/>
    </x:row>
    <x:row r="166">
      <x:c r="A166" s="61" t="str">
        <x:f>IF(B166="","","TL-"&amp;TEXT(ROW()-4,"0000"))</x:f>
      </x:c>
      <x:c r="B166" s="79" t="n"/>
      <x:c r="C166" s="61" t="n"/>
      <x:c r="D166" s="63" t="n"/>
      <x:c r="E166" s="61" t="n"/>
      <x:c r="F166" s="61" t="n"/>
      <x:c r="G166" s="61" t="n"/>
      <x:c r="H166" s="61" t="n"/>
      <x:c r="I166" s="61" t="n"/>
      <x:c r="J166" s="61" t="n"/>
      <x:c r="K166" s="61" t="n"/>
      <x:c r="L166" s="63" t="str">
        <x:f>IF(B166="","",173.33)</x:f>
      </x:c>
      <x:c r="M166" s="63" t="str">
        <x:f>IF(OR(D166="",L166=""),"",D166/L166)</x:f>
      </x:c>
      <x:c r="N166" s="82" t="n"/>
      <x:c r="O166" s="82" t="str">
        <x:f>IF(OR(M166="",N166=""),"",M166*N166)</x:f>
      </x:c>
      <x:c r="P166" s="82" t="str">
        <x:f>IF(B166="","",6732)</x:f>
      </x:c>
      <x:c r="Q166" s="82" t="str">
        <x:f>IF(OR(D166="",P166=""),"",D166*P166)</x:f>
      </x:c>
      <x:c r="R166" s="61" t="n"/>
      <x:c r="S166" s="61" t="n"/>
      <x:c r="T166" s="79" t="n"/>
      <x:c r="U166" s="61" t="n"/>
    </x:row>
    <x:row r="167">
      <x:c r="A167" s="56" t="str">
        <x:f>IF(B167="","","TL-"&amp;TEXT(ROW()-4,"0000"))</x:f>
      </x:c>
      <x:c r="B167" s="74" t="n"/>
      <x:c r="C167" s="56" t="n"/>
      <x:c r="D167" s="58" t="n"/>
      <x:c r="E167" s="56" t="n"/>
      <x:c r="F167" s="56" t="n"/>
      <x:c r="G167" s="56" t="n"/>
      <x:c r="H167" s="56" t="n"/>
      <x:c r="I167" s="56" t="n"/>
      <x:c r="J167" s="56" t="n"/>
      <x:c r="K167" s="56" t="n"/>
      <x:c r="L167" s="58" t="str">
        <x:f>IF(B167="","",173.33)</x:f>
      </x:c>
      <x:c r="M167" s="58" t="str">
        <x:f>IF(OR(D167="",L167=""),"",D167/L167)</x:f>
      </x:c>
      <x:c r="N167" s="76" t="n"/>
      <x:c r="O167" s="76" t="str">
        <x:f>IF(OR(M167="",N167=""),"",M167*N167)</x:f>
      </x:c>
      <x:c r="P167" s="76" t="str">
        <x:f>IF(B167="","",6732)</x:f>
      </x:c>
      <x:c r="Q167" s="76" t="str">
        <x:f>IF(OR(D167="",P167=""),"",D167*P167)</x:f>
      </x:c>
      <x:c r="R167" s="56" t="n"/>
      <x:c r="S167" s="56" t="n"/>
      <x:c r="T167" s="74" t="n"/>
      <x:c r="U167" s="56" t="n"/>
    </x:row>
    <x:row r="168">
      <x:c r="A168" s="61" t="str">
        <x:f>IF(B168="","","TL-"&amp;TEXT(ROW()-4,"0000"))</x:f>
      </x:c>
      <x:c r="B168" s="79" t="n"/>
      <x:c r="C168" s="61" t="n"/>
      <x:c r="D168" s="63" t="n"/>
      <x:c r="E168" s="61" t="n"/>
      <x:c r="F168" s="61" t="n"/>
      <x:c r="G168" s="61" t="n"/>
      <x:c r="H168" s="61" t="n"/>
      <x:c r="I168" s="61" t="n"/>
      <x:c r="J168" s="61" t="n"/>
      <x:c r="K168" s="61" t="n"/>
      <x:c r="L168" s="63" t="str">
        <x:f>IF(B168="","",173.33)</x:f>
      </x:c>
      <x:c r="M168" s="63" t="str">
        <x:f>IF(OR(D168="",L168=""),"",D168/L168)</x:f>
      </x:c>
      <x:c r="N168" s="82" t="n"/>
      <x:c r="O168" s="82" t="str">
        <x:f>IF(OR(M168="",N168=""),"",M168*N168)</x:f>
      </x:c>
      <x:c r="P168" s="82" t="str">
        <x:f>IF(B168="","",6732)</x:f>
      </x:c>
      <x:c r="Q168" s="82" t="str">
        <x:f>IF(OR(D168="",P168=""),"",D168*P168)</x:f>
      </x:c>
      <x:c r="R168" s="61" t="n"/>
      <x:c r="S168" s="61" t="n"/>
      <x:c r="T168" s="79" t="n"/>
      <x:c r="U168" s="61" t="n"/>
    </x:row>
    <x:row r="169">
      <x:c r="A169" s="56" t="str">
        <x:f>IF(B169="","","TL-"&amp;TEXT(ROW()-4,"0000"))</x:f>
      </x:c>
      <x:c r="B169" s="74" t="n"/>
      <x:c r="C169" s="56" t="n"/>
      <x:c r="D169" s="58" t="n"/>
      <x:c r="E169" s="56" t="n"/>
      <x:c r="F169" s="56" t="n"/>
      <x:c r="G169" s="56" t="n"/>
      <x:c r="H169" s="56" t="n"/>
      <x:c r="I169" s="56" t="n"/>
      <x:c r="J169" s="56" t="n"/>
      <x:c r="K169" s="56" t="n"/>
      <x:c r="L169" s="58" t="str">
        <x:f>IF(B169="","",173.33)</x:f>
      </x:c>
      <x:c r="M169" s="58" t="str">
        <x:f>IF(OR(D169="",L169=""),"",D169/L169)</x:f>
      </x:c>
      <x:c r="N169" s="76" t="n"/>
      <x:c r="O169" s="76" t="str">
        <x:f>IF(OR(M169="",N169=""),"",M169*N169)</x:f>
      </x:c>
      <x:c r="P169" s="76" t="str">
        <x:f>IF(B169="","",6732)</x:f>
      </x:c>
      <x:c r="Q169" s="76" t="str">
        <x:f>IF(OR(D169="",P169=""),"",D169*P169)</x:f>
      </x:c>
      <x:c r="R169" s="56" t="n"/>
      <x:c r="S169" s="56" t="n"/>
      <x:c r="T169" s="74" t="n"/>
      <x:c r="U169" s="56" t="n"/>
    </x:row>
    <x:row r="170">
      <x:c r="A170" s="61" t="str">
        <x:f>IF(B170="","","TL-"&amp;TEXT(ROW()-4,"0000"))</x:f>
      </x:c>
      <x:c r="B170" s="79" t="n"/>
      <x:c r="C170" s="61" t="n"/>
      <x:c r="D170" s="63" t="n"/>
      <x:c r="E170" s="61" t="n"/>
      <x:c r="F170" s="61" t="n"/>
      <x:c r="G170" s="61" t="n"/>
      <x:c r="H170" s="61" t="n"/>
      <x:c r="I170" s="61" t="n"/>
      <x:c r="J170" s="61" t="n"/>
      <x:c r="K170" s="61" t="n"/>
      <x:c r="L170" s="63" t="str">
        <x:f>IF(B170="","",173.33)</x:f>
      </x:c>
      <x:c r="M170" s="63" t="str">
        <x:f>IF(OR(D170="",L170=""),"",D170/L170)</x:f>
      </x:c>
      <x:c r="N170" s="82" t="n"/>
      <x:c r="O170" s="82" t="str">
        <x:f>IF(OR(M170="",N170=""),"",M170*N170)</x:f>
      </x:c>
      <x:c r="P170" s="82" t="str">
        <x:f>IF(B170="","",6732)</x:f>
      </x:c>
      <x:c r="Q170" s="82" t="str">
        <x:f>IF(OR(D170="",P170=""),"",D170*P170)</x:f>
      </x:c>
      <x:c r="R170" s="61" t="n"/>
      <x:c r="S170" s="61" t="n"/>
      <x:c r="T170" s="79" t="n"/>
      <x:c r="U170" s="61" t="n"/>
    </x:row>
    <x:row r="171">
      <x:c r="A171" s="56" t="str">
        <x:f>IF(B171="","","TL-"&amp;TEXT(ROW()-4,"0000"))</x:f>
      </x:c>
      <x:c r="B171" s="74" t="n"/>
      <x:c r="C171" s="56" t="n"/>
      <x:c r="D171" s="58" t="n"/>
      <x:c r="E171" s="56" t="n"/>
      <x:c r="F171" s="56" t="n"/>
      <x:c r="G171" s="56" t="n"/>
      <x:c r="H171" s="56" t="n"/>
      <x:c r="I171" s="56" t="n"/>
      <x:c r="J171" s="56" t="n"/>
      <x:c r="K171" s="56" t="n"/>
      <x:c r="L171" s="58" t="str">
        <x:f>IF(B171="","",173.33)</x:f>
      </x:c>
      <x:c r="M171" s="58" t="str">
        <x:f>IF(OR(D171="",L171=""),"",D171/L171)</x:f>
      </x:c>
      <x:c r="N171" s="76" t="n"/>
      <x:c r="O171" s="76" t="str">
        <x:f>IF(OR(M171="",N171=""),"",M171*N171)</x:f>
      </x:c>
      <x:c r="P171" s="76" t="str">
        <x:f>IF(B171="","",6732)</x:f>
      </x:c>
      <x:c r="Q171" s="76" t="str">
        <x:f>IF(OR(D171="",P171=""),"",D171*P171)</x:f>
      </x:c>
      <x:c r="R171" s="56" t="n"/>
      <x:c r="S171" s="56" t="n"/>
      <x:c r="T171" s="74" t="n"/>
      <x:c r="U171" s="56" t="n"/>
    </x:row>
    <x:row r="172">
      <x:c r="A172" s="61" t="str">
        <x:f>IF(B172="","","TL-"&amp;TEXT(ROW()-4,"0000"))</x:f>
      </x:c>
      <x:c r="B172" s="79" t="n"/>
      <x:c r="C172" s="61" t="n"/>
      <x:c r="D172" s="63" t="n"/>
      <x:c r="E172" s="61" t="n"/>
      <x:c r="F172" s="61" t="n"/>
      <x:c r="G172" s="61" t="n"/>
      <x:c r="H172" s="61" t="n"/>
      <x:c r="I172" s="61" t="n"/>
      <x:c r="J172" s="61" t="n"/>
      <x:c r="K172" s="61" t="n"/>
      <x:c r="L172" s="63" t="str">
        <x:f>IF(B172="","",173.33)</x:f>
      </x:c>
      <x:c r="M172" s="63" t="str">
        <x:f>IF(OR(D172="",L172=""),"",D172/L172)</x:f>
      </x:c>
      <x:c r="N172" s="82" t="n"/>
      <x:c r="O172" s="82" t="str">
        <x:f>IF(OR(M172="",N172=""),"",M172*N172)</x:f>
      </x:c>
      <x:c r="P172" s="82" t="str">
        <x:f>IF(B172="","",6732)</x:f>
      </x:c>
      <x:c r="Q172" s="82" t="str">
        <x:f>IF(OR(D172="",P172=""),"",D172*P172)</x:f>
      </x:c>
      <x:c r="R172" s="61" t="n"/>
      <x:c r="S172" s="61" t="n"/>
      <x:c r="T172" s="79" t="n"/>
      <x:c r="U172" s="61" t="n"/>
    </x:row>
    <x:row r="173">
      <x:c r="A173" s="56" t="str">
        <x:f>IF(B173="","","TL-"&amp;TEXT(ROW()-4,"0000"))</x:f>
      </x:c>
      <x:c r="B173" s="74" t="n"/>
      <x:c r="C173" s="56" t="n"/>
      <x:c r="D173" s="58" t="n"/>
      <x:c r="E173" s="56" t="n"/>
      <x:c r="F173" s="56" t="n"/>
      <x:c r="G173" s="56" t="n"/>
      <x:c r="H173" s="56" t="n"/>
      <x:c r="I173" s="56" t="n"/>
      <x:c r="J173" s="56" t="n"/>
      <x:c r="K173" s="56" t="n"/>
      <x:c r="L173" s="58" t="str">
        <x:f>IF(B173="","",173.33)</x:f>
      </x:c>
      <x:c r="M173" s="58" t="str">
        <x:f>IF(OR(D173="",L173=""),"",D173/L173)</x:f>
      </x:c>
      <x:c r="N173" s="76" t="n"/>
      <x:c r="O173" s="76" t="str">
        <x:f>IF(OR(M173="",N173=""),"",M173*N173)</x:f>
      </x:c>
      <x:c r="P173" s="76" t="str">
        <x:f>IF(B173="","",6732)</x:f>
      </x:c>
      <x:c r="Q173" s="76" t="str">
        <x:f>IF(OR(D173="",P173=""),"",D173*P173)</x:f>
      </x:c>
      <x:c r="R173" s="56" t="n"/>
      <x:c r="S173" s="56" t="n"/>
      <x:c r="T173" s="74" t="n"/>
      <x:c r="U173" s="56" t="n"/>
    </x:row>
    <x:row r="174">
      <x:c r="A174" s="61" t="str">
        <x:f>IF(B174="","","TL-"&amp;TEXT(ROW()-4,"0000"))</x:f>
      </x:c>
      <x:c r="B174" s="79" t="n"/>
      <x:c r="C174" s="61" t="n"/>
      <x:c r="D174" s="63" t="n"/>
      <x:c r="E174" s="61" t="n"/>
      <x:c r="F174" s="61" t="n"/>
      <x:c r="G174" s="61" t="n"/>
      <x:c r="H174" s="61" t="n"/>
      <x:c r="I174" s="61" t="n"/>
      <x:c r="J174" s="61" t="n"/>
      <x:c r="K174" s="61" t="n"/>
      <x:c r="L174" s="63" t="str">
        <x:f>IF(B174="","",173.33)</x:f>
      </x:c>
      <x:c r="M174" s="63" t="str">
        <x:f>IF(OR(D174="",L174=""),"",D174/L174)</x:f>
      </x:c>
      <x:c r="N174" s="82" t="n"/>
      <x:c r="O174" s="82" t="str">
        <x:f>IF(OR(M174="",N174=""),"",M174*N174)</x:f>
      </x:c>
      <x:c r="P174" s="82" t="str">
        <x:f>IF(B174="","",6732)</x:f>
      </x:c>
      <x:c r="Q174" s="82" t="str">
        <x:f>IF(OR(D174="",P174=""),"",D174*P174)</x:f>
      </x:c>
      <x:c r="R174" s="61" t="n"/>
      <x:c r="S174" s="61" t="n"/>
      <x:c r="T174" s="79" t="n"/>
      <x:c r="U174" s="61" t="n"/>
    </x:row>
    <x:row r="175">
      <x:c r="A175" s="56" t="str">
        <x:f>IF(B175="","","TL-"&amp;TEXT(ROW()-4,"0000"))</x:f>
      </x:c>
      <x:c r="B175" s="74" t="n"/>
      <x:c r="C175" s="56" t="n"/>
      <x:c r="D175" s="58" t="n"/>
      <x:c r="E175" s="56" t="n"/>
      <x:c r="F175" s="56" t="n"/>
      <x:c r="G175" s="56" t="n"/>
      <x:c r="H175" s="56" t="n"/>
      <x:c r="I175" s="56" t="n"/>
      <x:c r="J175" s="56" t="n"/>
      <x:c r="K175" s="56" t="n"/>
      <x:c r="L175" s="58" t="str">
        <x:f>IF(B175="","",173.33)</x:f>
      </x:c>
      <x:c r="M175" s="58" t="str">
        <x:f>IF(OR(D175="",L175=""),"",D175/L175)</x:f>
      </x:c>
      <x:c r="N175" s="76" t="n"/>
      <x:c r="O175" s="76" t="str">
        <x:f>IF(OR(M175="",N175=""),"",M175*N175)</x:f>
      </x:c>
      <x:c r="P175" s="76" t="str">
        <x:f>IF(B175="","",6732)</x:f>
      </x:c>
      <x:c r="Q175" s="76" t="str">
        <x:f>IF(OR(D175="",P175=""),"",D175*P175)</x:f>
      </x:c>
      <x:c r="R175" s="56" t="n"/>
      <x:c r="S175" s="56" t="n"/>
      <x:c r="T175" s="74" t="n"/>
      <x:c r="U175" s="56" t="n"/>
    </x:row>
    <x:row r="176">
      <x:c r="A176" s="61" t="str">
        <x:f>IF(B176="","","TL-"&amp;TEXT(ROW()-4,"0000"))</x:f>
      </x:c>
      <x:c r="B176" s="79" t="n"/>
      <x:c r="C176" s="61" t="n"/>
      <x:c r="D176" s="63" t="n"/>
      <x:c r="E176" s="61" t="n"/>
      <x:c r="F176" s="61" t="n"/>
      <x:c r="G176" s="61" t="n"/>
      <x:c r="H176" s="61" t="n"/>
      <x:c r="I176" s="61" t="n"/>
      <x:c r="J176" s="61" t="n"/>
      <x:c r="K176" s="61" t="n"/>
      <x:c r="L176" s="63" t="str">
        <x:f>IF(B176="","",173.33)</x:f>
      </x:c>
      <x:c r="M176" s="63" t="str">
        <x:f>IF(OR(D176="",L176=""),"",D176/L176)</x:f>
      </x:c>
      <x:c r="N176" s="82" t="n"/>
      <x:c r="O176" s="82" t="str">
        <x:f>IF(OR(M176="",N176=""),"",M176*N176)</x:f>
      </x:c>
      <x:c r="P176" s="82" t="str">
        <x:f>IF(B176="","",6732)</x:f>
      </x:c>
      <x:c r="Q176" s="82" t="str">
        <x:f>IF(OR(D176="",P176=""),"",D176*P176)</x:f>
      </x:c>
      <x:c r="R176" s="61" t="n"/>
      <x:c r="S176" s="61" t="n"/>
      <x:c r="T176" s="79" t="n"/>
      <x:c r="U176" s="61" t="n"/>
    </x:row>
    <x:row r="177">
      <x:c r="A177" s="56" t="str">
        <x:f>IF(B177="","","TL-"&amp;TEXT(ROW()-4,"0000"))</x:f>
      </x:c>
      <x:c r="B177" s="74" t="n"/>
      <x:c r="C177" s="56" t="n"/>
      <x:c r="D177" s="58" t="n"/>
      <x:c r="E177" s="56" t="n"/>
      <x:c r="F177" s="56" t="n"/>
      <x:c r="G177" s="56" t="n"/>
      <x:c r="H177" s="56" t="n"/>
      <x:c r="I177" s="56" t="n"/>
      <x:c r="J177" s="56" t="n"/>
      <x:c r="K177" s="56" t="n"/>
      <x:c r="L177" s="58" t="str">
        <x:f>IF(B177="","",173.33)</x:f>
      </x:c>
      <x:c r="M177" s="58" t="str">
        <x:f>IF(OR(D177="",L177=""),"",D177/L177)</x:f>
      </x:c>
      <x:c r="N177" s="76" t="n"/>
      <x:c r="O177" s="76" t="str">
        <x:f>IF(OR(M177="",N177=""),"",M177*N177)</x:f>
      </x:c>
      <x:c r="P177" s="76" t="str">
        <x:f>IF(B177="","",6732)</x:f>
      </x:c>
      <x:c r="Q177" s="76" t="str">
        <x:f>IF(OR(D177="",P177=""),"",D177*P177)</x:f>
      </x:c>
      <x:c r="R177" s="56" t="n"/>
      <x:c r="S177" s="56" t="n"/>
      <x:c r="T177" s="74" t="n"/>
      <x:c r="U177" s="56" t="n"/>
    </x:row>
    <x:row r="178">
      <x:c r="A178" s="61" t="str">
        <x:f>IF(B178="","","TL-"&amp;TEXT(ROW()-4,"0000"))</x:f>
      </x:c>
      <x:c r="B178" s="79" t="n"/>
      <x:c r="C178" s="61" t="n"/>
      <x:c r="D178" s="63" t="n"/>
      <x:c r="E178" s="61" t="n"/>
      <x:c r="F178" s="61" t="n"/>
      <x:c r="G178" s="61" t="n"/>
      <x:c r="H178" s="61" t="n"/>
      <x:c r="I178" s="61" t="n"/>
      <x:c r="J178" s="61" t="n"/>
      <x:c r="K178" s="61" t="n"/>
      <x:c r="L178" s="63" t="str">
        <x:f>IF(B178="","",173.33)</x:f>
      </x:c>
      <x:c r="M178" s="63" t="str">
        <x:f>IF(OR(D178="",L178=""),"",D178/L178)</x:f>
      </x:c>
      <x:c r="N178" s="82" t="n"/>
      <x:c r="O178" s="82" t="str">
        <x:f>IF(OR(M178="",N178=""),"",M178*N178)</x:f>
      </x:c>
      <x:c r="P178" s="82" t="str">
        <x:f>IF(B178="","",6732)</x:f>
      </x:c>
      <x:c r="Q178" s="82" t="str">
        <x:f>IF(OR(D178="",P178=""),"",D178*P178)</x:f>
      </x:c>
      <x:c r="R178" s="61" t="n"/>
      <x:c r="S178" s="61" t="n"/>
      <x:c r="T178" s="79" t="n"/>
      <x:c r="U178" s="61" t="n"/>
    </x:row>
    <x:row r="179">
      <x:c r="A179" s="56" t="str">
        <x:f>IF(B179="","","TL-"&amp;TEXT(ROW()-4,"0000"))</x:f>
      </x:c>
      <x:c r="B179" s="74" t="n"/>
      <x:c r="C179" s="56" t="n"/>
      <x:c r="D179" s="58" t="n"/>
      <x:c r="E179" s="56" t="n"/>
      <x:c r="F179" s="56" t="n"/>
      <x:c r="G179" s="56" t="n"/>
      <x:c r="H179" s="56" t="n"/>
      <x:c r="I179" s="56" t="n"/>
      <x:c r="J179" s="56" t="n"/>
      <x:c r="K179" s="56" t="n"/>
      <x:c r="L179" s="58" t="str">
        <x:f>IF(B179="","",173.33)</x:f>
      </x:c>
      <x:c r="M179" s="58" t="str">
        <x:f>IF(OR(D179="",L179=""),"",D179/L179)</x:f>
      </x:c>
      <x:c r="N179" s="76" t="n"/>
      <x:c r="O179" s="76" t="str">
        <x:f>IF(OR(M179="",N179=""),"",M179*N179)</x:f>
      </x:c>
      <x:c r="P179" s="76" t="str">
        <x:f>IF(B179="","",6732)</x:f>
      </x:c>
      <x:c r="Q179" s="76" t="str">
        <x:f>IF(OR(D179="",P179=""),"",D179*P179)</x:f>
      </x:c>
      <x:c r="R179" s="56" t="n"/>
      <x:c r="S179" s="56" t="n"/>
      <x:c r="T179" s="74" t="n"/>
      <x:c r="U179" s="56" t="n"/>
    </x:row>
    <x:row r="180">
      <x:c r="A180" s="61" t="str">
        <x:f>IF(B180="","","TL-"&amp;TEXT(ROW()-4,"0000"))</x:f>
      </x:c>
      <x:c r="B180" s="79" t="n"/>
      <x:c r="C180" s="61" t="n"/>
      <x:c r="D180" s="63" t="n"/>
      <x:c r="E180" s="61" t="n"/>
      <x:c r="F180" s="61" t="n"/>
      <x:c r="G180" s="61" t="n"/>
      <x:c r="H180" s="61" t="n"/>
      <x:c r="I180" s="61" t="n"/>
      <x:c r="J180" s="61" t="n"/>
      <x:c r="K180" s="61" t="n"/>
      <x:c r="L180" s="63" t="str">
        <x:f>IF(B180="","",173.33)</x:f>
      </x:c>
      <x:c r="M180" s="63" t="str">
        <x:f>IF(OR(D180="",L180=""),"",D180/L180)</x:f>
      </x:c>
      <x:c r="N180" s="82" t="n"/>
      <x:c r="O180" s="82" t="str">
        <x:f>IF(OR(M180="",N180=""),"",M180*N180)</x:f>
      </x:c>
      <x:c r="P180" s="82" t="str">
        <x:f>IF(B180="","",6732)</x:f>
      </x:c>
      <x:c r="Q180" s="82" t="str">
        <x:f>IF(OR(D180="",P180=""),"",D180*P180)</x:f>
      </x:c>
      <x:c r="R180" s="61" t="n"/>
      <x:c r="S180" s="61" t="n"/>
      <x:c r="T180" s="79" t="n"/>
      <x:c r="U180" s="61" t="n"/>
    </x:row>
    <x:row r="181">
      <x:c r="A181" s="56" t="str">
        <x:f>IF(B181="","","TL-"&amp;TEXT(ROW()-4,"0000"))</x:f>
      </x:c>
      <x:c r="B181" s="74" t="n"/>
      <x:c r="C181" s="56" t="n"/>
      <x:c r="D181" s="58" t="n"/>
      <x:c r="E181" s="56" t="n"/>
      <x:c r="F181" s="56" t="n"/>
      <x:c r="G181" s="56" t="n"/>
      <x:c r="H181" s="56" t="n"/>
      <x:c r="I181" s="56" t="n"/>
      <x:c r="J181" s="56" t="n"/>
      <x:c r="K181" s="56" t="n"/>
      <x:c r="L181" s="58" t="str">
        <x:f>IF(B181="","",173.33)</x:f>
      </x:c>
      <x:c r="M181" s="58" t="str">
        <x:f>IF(OR(D181="",L181=""),"",D181/L181)</x:f>
      </x:c>
      <x:c r="N181" s="76" t="n"/>
      <x:c r="O181" s="76" t="str">
        <x:f>IF(OR(M181="",N181=""),"",M181*N181)</x:f>
      </x:c>
      <x:c r="P181" s="76" t="str">
        <x:f>IF(B181="","",6732)</x:f>
      </x:c>
      <x:c r="Q181" s="76" t="str">
        <x:f>IF(OR(D181="",P181=""),"",D181*P181)</x:f>
      </x:c>
      <x:c r="R181" s="56" t="n"/>
      <x:c r="S181" s="56" t="n"/>
      <x:c r="T181" s="74" t="n"/>
      <x:c r="U181" s="56" t="n"/>
    </x:row>
    <x:row r="182">
      <x:c r="A182" s="61" t="str">
        <x:f>IF(B182="","","TL-"&amp;TEXT(ROW()-4,"0000"))</x:f>
      </x:c>
      <x:c r="B182" s="79" t="n"/>
      <x:c r="C182" s="61" t="n"/>
      <x:c r="D182" s="63" t="n"/>
      <x:c r="E182" s="61" t="n"/>
      <x:c r="F182" s="61" t="n"/>
      <x:c r="G182" s="61" t="n"/>
      <x:c r="H182" s="61" t="n"/>
      <x:c r="I182" s="61" t="n"/>
      <x:c r="J182" s="61" t="n"/>
      <x:c r="K182" s="61" t="n"/>
      <x:c r="L182" s="63" t="str">
        <x:f>IF(B182="","",173.33)</x:f>
      </x:c>
      <x:c r="M182" s="63" t="str">
        <x:f>IF(OR(D182="",L182=""),"",D182/L182)</x:f>
      </x:c>
      <x:c r="N182" s="82" t="n"/>
      <x:c r="O182" s="82" t="str">
        <x:f>IF(OR(M182="",N182=""),"",M182*N182)</x:f>
      </x:c>
      <x:c r="P182" s="82" t="str">
        <x:f>IF(B182="","",6732)</x:f>
      </x:c>
      <x:c r="Q182" s="82" t="str">
        <x:f>IF(OR(D182="",P182=""),"",D182*P182)</x:f>
      </x:c>
      <x:c r="R182" s="61" t="n"/>
      <x:c r="S182" s="61" t="n"/>
      <x:c r="T182" s="79" t="n"/>
      <x:c r="U182" s="61" t="n"/>
    </x:row>
    <x:row r="183">
      <x:c r="A183" s="56" t="str">
        <x:f>IF(B183="","","TL-"&amp;TEXT(ROW()-4,"0000"))</x:f>
      </x:c>
      <x:c r="B183" s="74" t="n"/>
      <x:c r="C183" s="56" t="n"/>
      <x:c r="D183" s="58" t="n"/>
      <x:c r="E183" s="56" t="n"/>
      <x:c r="F183" s="56" t="n"/>
      <x:c r="G183" s="56" t="n"/>
      <x:c r="H183" s="56" t="n"/>
      <x:c r="I183" s="56" t="n"/>
      <x:c r="J183" s="56" t="n"/>
      <x:c r="K183" s="56" t="n"/>
      <x:c r="L183" s="58" t="str">
        <x:f>IF(B183="","",173.33)</x:f>
      </x:c>
      <x:c r="M183" s="58" t="str">
        <x:f>IF(OR(D183="",L183=""),"",D183/L183)</x:f>
      </x:c>
      <x:c r="N183" s="76" t="n"/>
      <x:c r="O183" s="76" t="str">
        <x:f>IF(OR(M183="",N183=""),"",M183*N183)</x:f>
      </x:c>
      <x:c r="P183" s="76" t="str">
        <x:f>IF(B183="","",6732)</x:f>
      </x:c>
      <x:c r="Q183" s="76" t="str">
        <x:f>IF(OR(D183="",P183=""),"",D183*P183)</x:f>
      </x:c>
      <x:c r="R183" s="56" t="n"/>
      <x:c r="S183" s="56" t="n"/>
      <x:c r="T183" s="74" t="n"/>
      <x:c r="U183" s="56" t="n"/>
    </x:row>
    <x:row r="184">
      <x:c r="A184" s="61" t="str">
        <x:f>IF(B184="","","TL-"&amp;TEXT(ROW()-4,"0000"))</x:f>
      </x:c>
      <x:c r="B184" s="79" t="n"/>
      <x:c r="C184" s="61" t="n"/>
      <x:c r="D184" s="63" t="n"/>
      <x:c r="E184" s="61" t="n"/>
      <x:c r="F184" s="61" t="n"/>
      <x:c r="G184" s="61" t="n"/>
      <x:c r="H184" s="61" t="n"/>
      <x:c r="I184" s="61" t="n"/>
      <x:c r="J184" s="61" t="n"/>
      <x:c r="K184" s="61" t="n"/>
      <x:c r="L184" s="63" t="str">
        <x:f>IF(B184="","",173.33)</x:f>
      </x:c>
      <x:c r="M184" s="63" t="str">
        <x:f>IF(OR(D184="",L184=""),"",D184/L184)</x:f>
      </x:c>
      <x:c r="N184" s="82" t="n"/>
      <x:c r="O184" s="82" t="str">
        <x:f>IF(OR(M184="",N184=""),"",M184*N184)</x:f>
      </x:c>
      <x:c r="P184" s="82" t="str">
        <x:f>IF(B184="","",6732)</x:f>
      </x:c>
      <x:c r="Q184" s="82" t="str">
        <x:f>IF(OR(D184="",P184=""),"",D184*P184)</x:f>
      </x:c>
      <x:c r="R184" s="61" t="n"/>
      <x:c r="S184" s="61" t="n"/>
      <x:c r="T184" s="79" t="n"/>
      <x:c r="U184" s="61" t="n"/>
    </x:row>
    <x:row r="185">
      <x:c r="A185" s="56" t="str">
        <x:f>IF(B185="","","TL-"&amp;TEXT(ROW()-4,"0000"))</x:f>
      </x:c>
      <x:c r="B185" s="74" t="n"/>
      <x:c r="C185" s="56" t="n"/>
      <x:c r="D185" s="58" t="n"/>
      <x:c r="E185" s="56" t="n"/>
      <x:c r="F185" s="56" t="n"/>
      <x:c r="G185" s="56" t="n"/>
      <x:c r="H185" s="56" t="n"/>
      <x:c r="I185" s="56" t="n"/>
      <x:c r="J185" s="56" t="n"/>
      <x:c r="K185" s="56" t="n"/>
      <x:c r="L185" s="58" t="str">
        <x:f>IF(B185="","",173.33)</x:f>
      </x:c>
      <x:c r="M185" s="58" t="str">
        <x:f>IF(OR(D185="",L185=""),"",D185/L185)</x:f>
      </x:c>
      <x:c r="N185" s="76" t="n"/>
      <x:c r="O185" s="76" t="str">
        <x:f>IF(OR(M185="",N185=""),"",M185*N185)</x:f>
      </x:c>
      <x:c r="P185" s="76" t="str">
        <x:f>IF(B185="","",6732)</x:f>
      </x:c>
      <x:c r="Q185" s="76" t="str">
        <x:f>IF(OR(D185="",P185=""),"",D185*P185)</x:f>
      </x:c>
      <x:c r="R185" s="56" t="n"/>
      <x:c r="S185" s="56" t="n"/>
      <x:c r="T185" s="74" t="n"/>
      <x:c r="U185" s="56" t="n"/>
    </x:row>
    <x:row r="186">
      <x:c r="A186" s="61" t="str">
        <x:f>IF(B186="","","TL-"&amp;TEXT(ROW()-4,"0000"))</x:f>
      </x:c>
      <x:c r="B186" s="79" t="n"/>
      <x:c r="C186" s="61" t="n"/>
      <x:c r="D186" s="63" t="n"/>
      <x:c r="E186" s="61" t="n"/>
      <x:c r="F186" s="61" t="n"/>
      <x:c r="G186" s="61" t="n"/>
      <x:c r="H186" s="61" t="n"/>
      <x:c r="I186" s="61" t="n"/>
      <x:c r="J186" s="61" t="n"/>
      <x:c r="K186" s="61" t="n"/>
      <x:c r="L186" s="63" t="str">
        <x:f>IF(B186="","",173.33)</x:f>
      </x:c>
      <x:c r="M186" s="63" t="str">
        <x:f>IF(OR(D186="",L186=""),"",D186/L186)</x:f>
      </x:c>
      <x:c r="N186" s="82" t="n"/>
      <x:c r="O186" s="82" t="str">
        <x:f>IF(OR(M186="",N186=""),"",M186*N186)</x:f>
      </x:c>
      <x:c r="P186" s="82" t="str">
        <x:f>IF(B186="","",6732)</x:f>
      </x:c>
      <x:c r="Q186" s="82" t="str">
        <x:f>IF(OR(D186="",P186=""),"",D186*P186)</x:f>
      </x:c>
      <x:c r="R186" s="61" t="n"/>
      <x:c r="S186" s="61" t="n"/>
      <x:c r="T186" s="79" t="n"/>
      <x:c r="U186" s="61" t="n"/>
    </x:row>
    <x:row r="187">
      <x:c r="A187" s="56" t="str">
        <x:f>IF(B187="","","TL-"&amp;TEXT(ROW()-4,"0000"))</x:f>
      </x:c>
      <x:c r="B187" s="74" t="n"/>
      <x:c r="C187" s="56" t="n"/>
      <x:c r="D187" s="58" t="n"/>
      <x:c r="E187" s="56" t="n"/>
      <x:c r="F187" s="56" t="n"/>
      <x:c r="G187" s="56" t="n"/>
      <x:c r="H187" s="56" t="n"/>
      <x:c r="I187" s="56" t="n"/>
      <x:c r="J187" s="56" t="n"/>
      <x:c r="K187" s="56" t="n"/>
      <x:c r="L187" s="58" t="str">
        <x:f>IF(B187="","",173.33)</x:f>
      </x:c>
      <x:c r="M187" s="58" t="str">
        <x:f>IF(OR(D187="",L187=""),"",D187/L187)</x:f>
      </x:c>
      <x:c r="N187" s="76" t="n"/>
      <x:c r="O187" s="76" t="str">
        <x:f>IF(OR(M187="",N187=""),"",M187*N187)</x:f>
      </x:c>
      <x:c r="P187" s="76" t="str">
        <x:f>IF(B187="","",6732)</x:f>
      </x:c>
      <x:c r="Q187" s="76" t="str">
        <x:f>IF(OR(D187="",P187=""),"",D187*P187)</x:f>
      </x:c>
      <x:c r="R187" s="56" t="n"/>
      <x:c r="S187" s="56" t="n"/>
      <x:c r="T187" s="74" t="n"/>
      <x:c r="U187" s="56" t="n"/>
    </x:row>
    <x:row r="188">
      <x:c r="A188" s="61" t="str">
        <x:f>IF(B188="","","TL-"&amp;TEXT(ROW()-4,"0000"))</x:f>
      </x:c>
      <x:c r="B188" s="79" t="n"/>
      <x:c r="C188" s="61" t="n"/>
      <x:c r="D188" s="63" t="n"/>
      <x:c r="E188" s="61" t="n"/>
      <x:c r="F188" s="61" t="n"/>
      <x:c r="G188" s="61" t="n"/>
      <x:c r="H188" s="61" t="n"/>
      <x:c r="I188" s="61" t="n"/>
      <x:c r="J188" s="61" t="n"/>
      <x:c r="K188" s="61" t="n"/>
      <x:c r="L188" s="63" t="str">
        <x:f>IF(B188="","",173.33)</x:f>
      </x:c>
      <x:c r="M188" s="63" t="str">
        <x:f>IF(OR(D188="",L188=""),"",D188/L188)</x:f>
      </x:c>
      <x:c r="N188" s="82" t="n"/>
      <x:c r="O188" s="82" t="str">
        <x:f>IF(OR(M188="",N188=""),"",M188*N188)</x:f>
      </x:c>
      <x:c r="P188" s="82" t="str">
        <x:f>IF(B188="","",6732)</x:f>
      </x:c>
      <x:c r="Q188" s="82" t="str">
        <x:f>IF(OR(D188="",P188=""),"",D188*P188)</x:f>
      </x:c>
      <x:c r="R188" s="61" t="n"/>
      <x:c r="S188" s="61" t="n"/>
      <x:c r="T188" s="79" t="n"/>
      <x:c r="U188" s="61" t="n"/>
    </x:row>
    <x:row r="189">
      <x:c r="A189" s="56" t="str">
        <x:f>IF(B189="","","TL-"&amp;TEXT(ROW()-4,"0000"))</x:f>
      </x:c>
      <x:c r="B189" s="74" t="n"/>
      <x:c r="C189" s="56" t="n"/>
      <x:c r="D189" s="58" t="n"/>
      <x:c r="E189" s="56" t="n"/>
      <x:c r="F189" s="56" t="n"/>
      <x:c r="G189" s="56" t="n"/>
      <x:c r="H189" s="56" t="n"/>
      <x:c r="I189" s="56" t="n"/>
      <x:c r="J189" s="56" t="n"/>
      <x:c r="K189" s="56" t="n"/>
      <x:c r="L189" s="58" t="str">
        <x:f>IF(B189="","",173.33)</x:f>
      </x:c>
      <x:c r="M189" s="58" t="str">
        <x:f>IF(OR(D189="",L189=""),"",D189/L189)</x:f>
      </x:c>
      <x:c r="N189" s="76" t="n"/>
      <x:c r="O189" s="76" t="str">
        <x:f>IF(OR(M189="",N189=""),"",M189*N189)</x:f>
      </x:c>
      <x:c r="P189" s="76" t="str">
        <x:f>IF(B189="","",6732)</x:f>
      </x:c>
      <x:c r="Q189" s="76" t="str">
        <x:f>IF(OR(D189="",P189=""),"",D189*P189)</x:f>
      </x:c>
      <x:c r="R189" s="56" t="n"/>
      <x:c r="S189" s="56" t="n"/>
      <x:c r="T189" s="74" t="n"/>
      <x:c r="U189" s="56" t="n"/>
    </x:row>
    <x:row r="190">
      <x:c r="A190" s="61" t="str">
        <x:f>IF(B190="","","TL-"&amp;TEXT(ROW()-4,"0000"))</x:f>
      </x:c>
      <x:c r="B190" s="79" t="n"/>
      <x:c r="C190" s="61" t="n"/>
      <x:c r="D190" s="63" t="n"/>
      <x:c r="E190" s="61" t="n"/>
      <x:c r="F190" s="61" t="n"/>
      <x:c r="G190" s="61" t="n"/>
      <x:c r="H190" s="61" t="n"/>
      <x:c r="I190" s="61" t="n"/>
      <x:c r="J190" s="61" t="n"/>
      <x:c r="K190" s="61" t="n"/>
      <x:c r="L190" s="63" t="str">
        <x:f>IF(B190="","",173.33)</x:f>
      </x:c>
      <x:c r="M190" s="63" t="str">
        <x:f>IF(OR(D190="",L190=""),"",D190/L190)</x:f>
      </x:c>
      <x:c r="N190" s="82" t="n"/>
      <x:c r="O190" s="82" t="str">
        <x:f>IF(OR(M190="",N190=""),"",M190*N190)</x:f>
      </x:c>
      <x:c r="P190" s="82" t="str">
        <x:f>IF(B190="","",6732)</x:f>
      </x:c>
      <x:c r="Q190" s="82" t="str">
        <x:f>IF(OR(D190="",P190=""),"",D190*P190)</x:f>
      </x:c>
      <x:c r="R190" s="61" t="n"/>
      <x:c r="S190" s="61" t="n"/>
      <x:c r="T190" s="79" t="n"/>
      <x:c r="U190" s="61" t="n"/>
    </x:row>
    <x:row r="191">
      <x:c r="A191" s="56" t="str">
        <x:f>IF(B191="","","TL-"&amp;TEXT(ROW()-4,"0000"))</x:f>
      </x:c>
      <x:c r="B191" s="74" t="n"/>
      <x:c r="C191" s="56" t="n"/>
      <x:c r="D191" s="58" t="n"/>
      <x:c r="E191" s="56" t="n"/>
      <x:c r="F191" s="56" t="n"/>
      <x:c r="G191" s="56" t="n"/>
      <x:c r="H191" s="56" t="n"/>
      <x:c r="I191" s="56" t="n"/>
      <x:c r="J191" s="56" t="n"/>
      <x:c r="K191" s="56" t="n"/>
      <x:c r="L191" s="58" t="str">
        <x:f>IF(B191="","",173.33)</x:f>
      </x:c>
      <x:c r="M191" s="58" t="str">
        <x:f>IF(OR(D191="",L191=""),"",D191/L191)</x:f>
      </x:c>
      <x:c r="N191" s="76" t="n"/>
      <x:c r="O191" s="76" t="str">
        <x:f>IF(OR(M191="",N191=""),"",M191*N191)</x:f>
      </x:c>
      <x:c r="P191" s="76" t="str">
        <x:f>IF(B191="","",6732)</x:f>
      </x:c>
      <x:c r="Q191" s="76" t="str">
        <x:f>IF(OR(D191="",P191=""),"",D191*P191)</x:f>
      </x:c>
      <x:c r="R191" s="56" t="n"/>
      <x:c r="S191" s="56" t="n"/>
      <x:c r="T191" s="74" t="n"/>
      <x:c r="U191" s="56" t="n"/>
    </x:row>
    <x:row r="192">
      <x:c r="A192" s="61" t="str">
        <x:f>IF(B192="","","TL-"&amp;TEXT(ROW()-4,"0000"))</x:f>
      </x:c>
      <x:c r="B192" s="79" t="n"/>
      <x:c r="C192" s="61" t="n"/>
      <x:c r="D192" s="63" t="n"/>
      <x:c r="E192" s="61" t="n"/>
      <x:c r="F192" s="61" t="n"/>
      <x:c r="G192" s="61" t="n"/>
      <x:c r="H192" s="61" t="n"/>
      <x:c r="I192" s="61" t="n"/>
      <x:c r="J192" s="61" t="n"/>
      <x:c r="K192" s="61" t="n"/>
      <x:c r="L192" s="63" t="str">
        <x:f>IF(B192="","",173.33)</x:f>
      </x:c>
      <x:c r="M192" s="63" t="str">
        <x:f>IF(OR(D192="",L192=""),"",D192/L192)</x:f>
      </x:c>
      <x:c r="N192" s="82" t="n"/>
      <x:c r="O192" s="82" t="str">
        <x:f>IF(OR(M192="",N192=""),"",M192*N192)</x:f>
      </x:c>
      <x:c r="P192" s="82" t="str">
        <x:f>IF(B192="","",6732)</x:f>
      </x:c>
      <x:c r="Q192" s="82" t="str">
        <x:f>IF(OR(D192="",P192=""),"",D192*P192)</x:f>
      </x:c>
      <x:c r="R192" s="61" t="n"/>
      <x:c r="S192" s="61" t="n"/>
      <x:c r="T192" s="79" t="n"/>
      <x:c r="U192" s="61" t="n"/>
    </x:row>
    <x:row r="193">
      <x:c r="A193" s="56" t="str">
        <x:f>IF(B193="","","TL-"&amp;TEXT(ROW()-4,"0000"))</x:f>
      </x:c>
      <x:c r="B193" s="74" t="n"/>
      <x:c r="C193" s="56" t="n"/>
      <x:c r="D193" s="58" t="n"/>
      <x:c r="E193" s="56" t="n"/>
      <x:c r="F193" s="56" t="n"/>
      <x:c r="G193" s="56" t="n"/>
      <x:c r="H193" s="56" t="n"/>
      <x:c r="I193" s="56" t="n"/>
      <x:c r="J193" s="56" t="n"/>
      <x:c r="K193" s="56" t="n"/>
      <x:c r="L193" s="58" t="str">
        <x:f>IF(B193="","",173.33)</x:f>
      </x:c>
      <x:c r="M193" s="58" t="str">
        <x:f>IF(OR(D193="",L193=""),"",D193/L193)</x:f>
      </x:c>
      <x:c r="N193" s="76" t="n"/>
      <x:c r="O193" s="76" t="str">
        <x:f>IF(OR(M193="",N193=""),"",M193*N193)</x:f>
      </x:c>
      <x:c r="P193" s="76" t="str">
        <x:f>IF(B193="","",6732)</x:f>
      </x:c>
      <x:c r="Q193" s="76" t="str">
        <x:f>IF(OR(D193="",P193=""),"",D193*P193)</x:f>
      </x:c>
      <x:c r="R193" s="56" t="n"/>
      <x:c r="S193" s="56" t="n"/>
      <x:c r="T193" s="74" t="n"/>
      <x:c r="U193" s="56" t="n"/>
    </x:row>
    <x:row r="194">
      <x:c r="A194" s="61" t="str">
        <x:f>IF(B194="","","TL-"&amp;TEXT(ROW()-4,"0000"))</x:f>
      </x:c>
      <x:c r="B194" s="79" t="n"/>
      <x:c r="C194" s="61" t="n"/>
      <x:c r="D194" s="63" t="n"/>
      <x:c r="E194" s="61" t="n"/>
      <x:c r="F194" s="61" t="n"/>
      <x:c r="G194" s="61" t="n"/>
      <x:c r="H194" s="61" t="n"/>
      <x:c r="I194" s="61" t="n"/>
      <x:c r="J194" s="61" t="n"/>
      <x:c r="K194" s="61" t="n"/>
      <x:c r="L194" s="63" t="str">
        <x:f>IF(B194="","",173.33)</x:f>
      </x:c>
      <x:c r="M194" s="63" t="str">
        <x:f>IF(OR(D194="",L194=""),"",D194/L194)</x:f>
      </x:c>
      <x:c r="N194" s="82" t="n"/>
      <x:c r="O194" s="82" t="str">
        <x:f>IF(OR(M194="",N194=""),"",M194*N194)</x:f>
      </x:c>
      <x:c r="P194" s="82" t="str">
        <x:f>IF(B194="","",6732)</x:f>
      </x:c>
      <x:c r="Q194" s="82" t="str">
        <x:f>IF(OR(D194="",P194=""),"",D194*P194)</x:f>
      </x:c>
      <x:c r="R194" s="61" t="n"/>
      <x:c r="S194" s="61" t="n"/>
      <x:c r="T194" s="79" t="n"/>
      <x:c r="U194" s="61" t="n"/>
    </x:row>
    <x:row r="195">
      <x:c r="A195" s="56" t="str">
        <x:f>IF(B195="","","TL-"&amp;TEXT(ROW()-4,"0000"))</x:f>
      </x:c>
      <x:c r="B195" s="74" t="n"/>
      <x:c r="C195" s="56" t="n"/>
      <x:c r="D195" s="58" t="n"/>
      <x:c r="E195" s="56" t="n"/>
      <x:c r="F195" s="56" t="n"/>
      <x:c r="G195" s="56" t="n"/>
      <x:c r="H195" s="56" t="n"/>
      <x:c r="I195" s="56" t="n"/>
      <x:c r="J195" s="56" t="n"/>
      <x:c r="K195" s="56" t="n"/>
      <x:c r="L195" s="58" t="str">
        <x:f>IF(B195="","",173.33)</x:f>
      </x:c>
      <x:c r="M195" s="58" t="str">
        <x:f>IF(OR(D195="",L195=""),"",D195/L195)</x:f>
      </x:c>
      <x:c r="N195" s="76" t="n"/>
      <x:c r="O195" s="76" t="str">
        <x:f>IF(OR(M195="",N195=""),"",M195*N195)</x:f>
      </x:c>
      <x:c r="P195" s="76" t="str">
        <x:f>IF(B195="","",6732)</x:f>
      </x:c>
      <x:c r="Q195" s="76" t="str">
        <x:f>IF(OR(D195="",P195=""),"",D195*P195)</x:f>
      </x:c>
      <x:c r="R195" s="56" t="n"/>
      <x:c r="S195" s="56" t="n"/>
      <x:c r="T195" s="74" t="n"/>
      <x:c r="U195" s="56" t="n"/>
    </x:row>
    <x:row r="196">
      <x:c r="A196" s="61" t="str">
        <x:f>IF(B196="","","TL-"&amp;TEXT(ROW()-4,"0000"))</x:f>
      </x:c>
      <x:c r="B196" s="79" t="n"/>
      <x:c r="C196" s="61" t="n"/>
      <x:c r="D196" s="63" t="n"/>
      <x:c r="E196" s="61" t="n"/>
      <x:c r="F196" s="61" t="n"/>
      <x:c r="G196" s="61" t="n"/>
      <x:c r="H196" s="61" t="n"/>
      <x:c r="I196" s="61" t="n"/>
      <x:c r="J196" s="61" t="n"/>
      <x:c r="K196" s="61" t="n"/>
      <x:c r="L196" s="63" t="str">
        <x:f>IF(B196="","",173.33)</x:f>
      </x:c>
      <x:c r="M196" s="63" t="str">
        <x:f>IF(OR(D196="",L196=""),"",D196/L196)</x:f>
      </x:c>
      <x:c r="N196" s="82" t="n"/>
      <x:c r="O196" s="82" t="str">
        <x:f>IF(OR(M196="",N196=""),"",M196*N196)</x:f>
      </x:c>
      <x:c r="P196" s="82" t="str">
        <x:f>IF(B196="","",6732)</x:f>
      </x:c>
      <x:c r="Q196" s="82" t="str">
        <x:f>IF(OR(D196="",P196=""),"",D196*P196)</x:f>
      </x:c>
      <x:c r="R196" s="61" t="n"/>
      <x:c r="S196" s="61" t="n"/>
      <x:c r="T196" s="79" t="n"/>
      <x:c r="U196" s="61" t="n"/>
    </x:row>
    <x:row r="197">
      <x:c r="A197" s="56" t="str">
        <x:f>IF(B197="","","TL-"&amp;TEXT(ROW()-4,"0000"))</x:f>
      </x:c>
      <x:c r="B197" s="74" t="n"/>
      <x:c r="C197" s="56" t="n"/>
      <x:c r="D197" s="58" t="n"/>
      <x:c r="E197" s="56" t="n"/>
      <x:c r="F197" s="56" t="n"/>
      <x:c r="G197" s="56" t="n"/>
      <x:c r="H197" s="56" t="n"/>
      <x:c r="I197" s="56" t="n"/>
      <x:c r="J197" s="56" t="n"/>
      <x:c r="K197" s="56" t="n"/>
      <x:c r="L197" s="58" t="str">
        <x:f>IF(B197="","",173.33)</x:f>
      </x:c>
      <x:c r="M197" s="58" t="str">
        <x:f>IF(OR(D197="",L197=""),"",D197/L197)</x:f>
      </x:c>
      <x:c r="N197" s="76" t="n"/>
      <x:c r="O197" s="76" t="str">
        <x:f>IF(OR(M197="",N197=""),"",M197*N197)</x:f>
      </x:c>
      <x:c r="P197" s="76" t="str">
        <x:f>IF(B197="","",6732)</x:f>
      </x:c>
      <x:c r="Q197" s="76" t="str">
        <x:f>IF(OR(D197="",P197=""),"",D197*P197)</x:f>
      </x:c>
      <x:c r="R197" s="56" t="n"/>
      <x:c r="S197" s="56" t="n"/>
      <x:c r="T197" s="74" t="n"/>
      <x:c r="U197" s="56" t="n"/>
    </x:row>
    <x:row r="198">
      <x:c r="A198" s="61" t="str">
        <x:f>IF(B198="","","TL-"&amp;TEXT(ROW()-4,"0000"))</x:f>
      </x:c>
      <x:c r="B198" s="79" t="n"/>
      <x:c r="C198" s="61" t="n"/>
      <x:c r="D198" s="63" t="n"/>
      <x:c r="E198" s="61" t="n"/>
      <x:c r="F198" s="61" t="n"/>
      <x:c r="G198" s="61" t="n"/>
      <x:c r="H198" s="61" t="n"/>
      <x:c r="I198" s="61" t="n"/>
      <x:c r="J198" s="61" t="n"/>
      <x:c r="K198" s="61" t="n"/>
      <x:c r="L198" s="63" t="str">
        <x:f>IF(B198="","",173.33)</x:f>
      </x:c>
      <x:c r="M198" s="63" t="str">
        <x:f>IF(OR(D198="",L198=""),"",D198/L198)</x:f>
      </x:c>
      <x:c r="N198" s="82" t="n"/>
      <x:c r="O198" s="82" t="str">
        <x:f>IF(OR(M198="",N198=""),"",M198*N198)</x:f>
      </x:c>
      <x:c r="P198" s="82" t="str">
        <x:f>IF(B198="","",6732)</x:f>
      </x:c>
      <x:c r="Q198" s="82" t="str">
        <x:f>IF(OR(D198="",P198=""),"",D198*P198)</x:f>
      </x:c>
      <x:c r="R198" s="61" t="n"/>
      <x:c r="S198" s="61" t="n"/>
      <x:c r="T198" s="79" t="n"/>
      <x:c r="U198" s="61" t="n"/>
    </x:row>
    <x:row r="199">
      <x:c r="A199" s="56" t="str">
        <x:f>IF(B199="","","TL-"&amp;TEXT(ROW()-4,"0000"))</x:f>
      </x:c>
      <x:c r="B199" s="74" t="n"/>
      <x:c r="C199" s="56" t="n"/>
      <x:c r="D199" s="58" t="n"/>
      <x:c r="E199" s="56" t="n"/>
      <x:c r="F199" s="56" t="n"/>
      <x:c r="G199" s="56" t="n"/>
      <x:c r="H199" s="56" t="n"/>
      <x:c r="I199" s="56" t="n"/>
      <x:c r="J199" s="56" t="n"/>
      <x:c r="K199" s="56" t="n"/>
      <x:c r="L199" s="58" t="str">
        <x:f>IF(B199="","",173.33)</x:f>
      </x:c>
      <x:c r="M199" s="58" t="str">
        <x:f>IF(OR(D199="",L199=""),"",D199/L199)</x:f>
      </x:c>
      <x:c r="N199" s="76" t="n"/>
      <x:c r="O199" s="76" t="str">
        <x:f>IF(OR(M199="",N199=""),"",M199*N199)</x:f>
      </x:c>
      <x:c r="P199" s="76" t="str">
        <x:f>IF(B199="","",6732)</x:f>
      </x:c>
      <x:c r="Q199" s="76" t="str">
        <x:f>IF(OR(D199="",P199=""),"",D199*P199)</x:f>
      </x:c>
      <x:c r="R199" s="56" t="n"/>
      <x:c r="S199" s="56" t="n"/>
      <x:c r="T199" s="74" t="n"/>
      <x:c r="U199" s="56" t="n"/>
    </x:row>
    <x:row r="200">
      <x:c r="A200" s="61" t="str">
        <x:f>IF(B200="","","TL-"&amp;TEXT(ROW()-4,"0000"))</x:f>
      </x:c>
      <x:c r="B200" s="79" t="n"/>
      <x:c r="C200" s="61" t="n"/>
      <x:c r="D200" s="63" t="n"/>
      <x:c r="E200" s="61" t="n"/>
      <x:c r="F200" s="61" t="n"/>
      <x:c r="G200" s="61" t="n"/>
      <x:c r="H200" s="61" t="n"/>
      <x:c r="I200" s="61" t="n"/>
      <x:c r="J200" s="61" t="n"/>
      <x:c r="K200" s="61" t="n"/>
      <x:c r="L200" s="63" t="str">
        <x:f>IF(B200="","",173.33)</x:f>
      </x:c>
      <x:c r="M200" s="63" t="str">
        <x:f>IF(OR(D200="",L200=""),"",D200/L200)</x:f>
      </x:c>
      <x:c r="N200" s="82" t="n"/>
      <x:c r="O200" s="82" t="str">
        <x:f>IF(OR(M200="",N200=""),"",M200*N200)</x:f>
      </x:c>
      <x:c r="P200" s="82" t="str">
        <x:f>IF(B200="","",6732)</x:f>
      </x:c>
      <x:c r="Q200" s="82" t="str">
        <x:f>IF(OR(D200="",P200=""),"",D200*P200)</x:f>
      </x:c>
      <x:c r="R200" s="61" t="n"/>
      <x:c r="S200" s="61" t="n"/>
      <x:c r="T200" s="79" t="n"/>
      <x:c r="U200" s="61" t="n"/>
    </x:row>
    <x:row r="201">
      <x:c r="A201" s="56" t="str">
        <x:f>IF(B201="","","TL-"&amp;TEXT(ROW()-4,"0000"))</x:f>
      </x:c>
      <x:c r="B201" s="74" t="n"/>
      <x:c r="C201" s="56" t="n"/>
      <x:c r="D201" s="58" t="n"/>
      <x:c r="E201" s="56" t="n"/>
      <x:c r="F201" s="56" t="n"/>
      <x:c r="G201" s="56" t="n"/>
      <x:c r="H201" s="56" t="n"/>
      <x:c r="I201" s="56" t="n"/>
      <x:c r="J201" s="56" t="n"/>
      <x:c r="K201" s="56" t="n"/>
      <x:c r="L201" s="58" t="str">
        <x:f>IF(B201="","",173.33)</x:f>
      </x:c>
      <x:c r="M201" s="58" t="str">
        <x:f>IF(OR(D201="",L201=""),"",D201/L201)</x:f>
      </x:c>
      <x:c r="N201" s="76" t="n"/>
      <x:c r="O201" s="76" t="str">
        <x:f>IF(OR(M201="",N201=""),"",M201*N201)</x:f>
      </x:c>
      <x:c r="P201" s="76" t="str">
        <x:f>IF(B201="","",6732)</x:f>
      </x:c>
      <x:c r="Q201" s="76" t="str">
        <x:f>IF(OR(D201="",P201=""),"",D201*P201)</x:f>
      </x:c>
      <x:c r="R201" s="56" t="n"/>
      <x:c r="S201" s="56" t="n"/>
      <x:c r="T201" s="74" t="n"/>
      <x:c r="U201" s="56" t="n"/>
    </x:row>
    <x:row r="202">
      <x:c r="A202" s="61" t="str">
        <x:f>IF(B202="","","TL-"&amp;TEXT(ROW()-4,"0000"))</x:f>
      </x:c>
      <x:c r="B202" s="79" t="n"/>
      <x:c r="C202" s="61" t="n"/>
      <x:c r="D202" s="63" t="n"/>
      <x:c r="E202" s="61" t="n"/>
      <x:c r="F202" s="61" t="n"/>
      <x:c r="G202" s="61" t="n"/>
      <x:c r="H202" s="61" t="n"/>
      <x:c r="I202" s="61" t="n"/>
      <x:c r="J202" s="61" t="n"/>
      <x:c r="K202" s="61" t="n"/>
      <x:c r="L202" s="63" t="str">
        <x:f>IF(B202="","",173.33)</x:f>
      </x:c>
      <x:c r="M202" s="63" t="str">
        <x:f>IF(OR(D202="",L202=""),"",D202/L202)</x:f>
      </x:c>
      <x:c r="N202" s="82" t="n"/>
      <x:c r="O202" s="82" t="str">
        <x:f>IF(OR(M202="",N202=""),"",M202*N202)</x:f>
      </x:c>
      <x:c r="P202" s="82" t="str">
        <x:f>IF(B202="","",6732)</x:f>
      </x:c>
      <x:c r="Q202" s="82" t="str">
        <x:f>IF(OR(D202="",P202=""),"",D202*P202)</x:f>
      </x:c>
      <x:c r="R202" s="61" t="n"/>
      <x:c r="S202" s="61" t="n"/>
      <x:c r="T202" s="79" t="n"/>
      <x:c r="U202" s="61" t="n"/>
    </x:row>
    <x:row r="203">
      <x:c r="A203" s="56" t="str">
        <x:f>IF(B203="","","TL-"&amp;TEXT(ROW()-4,"0000"))</x:f>
      </x:c>
      <x:c r="B203" s="74" t="n"/>
      <x:c r="C203" s="56" t="n"/>
      <x:c r="D203" s="58" t="n"/>
      <x:c r="E203" s="56" t="n"/>
      <x:c r="F203" s="56" t="n"/>
      <x:c r="G203" s="56" t="n"/>
      <x:c r="H203" s="56" t="n"/>
      <x:c r="I203" s="56" t="n"/>
      <x:c r="J203" s="56" t="n"/>
      <x:c r="K203" s="56" t="n"/>
      <x:c r="L203" s="58" t="str">
        <x:f>IF(B203="","",173.33)</x:f>
      </x:c>
      <x:c r="M203" s="58" t="str">
        <x:f>IF(OR(D203="",L203=""),"",D203/L203)</x:f>
      </x:c>
      <x:c r="N203" s="76" t="n"/>
      <x:c r="O203" s="76" t="str">
        <x:f>IF(OR(M203="",N203=""),"",M203*N203)</x:f>
      </x:c>
      <x:c r="P203" s="76" t="str">
        <x:f>IF(B203="","",6732)</x:f>
      </x:c>
      <x:c r="Q203" s="76" t="str">
        <x:f>IF(OR(D203="",P203=""),"",D203*P203)</x:f>
      </x:c>
      <x:c r="R203" s="56" t="n"/>
      <x:c r="S203" s="56" t="n"/>
      <x:c r="T203" s="74" t="n"/>
      <x:c r="U203" s="56" t="n"/>
    </x:row>
    <x:row r="204">
      <x:c r="A204" s="61" t="str">
        <x:f>IF(B204="","","TL-"&amp;TEXT(ROW()-4,"0000"))</x:f>
      </x:c>
      <x:c r="B204" s="79" t="n"/>
      <x:c r="C204" s="61" t="n"/>
      <x:c r="D204" s="63" t="n"/>
      <x:c r="E204" s="61" t="n"/>
      <x:c r="F204" s="61" t="n"/>
      <x:c r="G204" s="61" t="n"/>
      <x:c r="H204" s="61" t="n"/>
      <x:c r="I204" s="61" t="n"/>
      <x:c r="J204" s="61" t="n"/>
      <x:c r="K204" s="61" t="n"/>
      <x:c r="L204" s="63" t="str">
        <x:f>IF(B204="","",173.33)</x:f>
      </x:c>
      <x:c r="M204" s="63" t="str">
        <x:f>IF(OR(D204="",L204=""),"",D204/L204)</x:f>
      </x:c>
      <x:c r="N204" s="82" t="n"/>
      <x:c r="O204" s="82" t="str">
        <x:f>IF(OR(M204="",N204=""),"",M204*N204)</x:f>
      </x:c>
      <x:c r="P204" s="82" t="str">
        <x:f>IF(B204="","",6732)</x:f>
      </x:c>
      <x:c r="Q204" s="82" t="str">
        <x:f>IF(OR(D204="",P204=""),"",D204*P204)</x:f>
      </x:c>
      <x:c r="R204" s="61" t="n"/>
      <x:c r="S204" s="61" t="n"/>
      <x:c r="T204" s="79" t="n"/>
      <x:c r="U204" s="61" t="n"/>
    </x:row>
    <x:row r="205">
      <x:c r="A205" s="56" t="str">
        <x:f>IF(B205="","","TL-"&amp;TEXT(ROW()-4,"0000"))</x:f>
      </x:c>
      <x:c r="B205" s="74" t="n"/>
      <x:c r="C205" s="56" t="n"/>
      <x:c r="D205" s="58" t="n"/>
      <x:c r="E205" s="56" t="n"/>
      <x:c r="F205" s="56" t="n"/>
      <x:c r="G205" s="56" t="n"/>
      <x:c r="H205" s="56" t="n"/>
      <x:c r="I205" s="56" t="n"/>
      <x:c r="J205" s="56" t="n"/>
      <x:c r="K205" s="56" t="n"/>
      <x:c r="L205" s="58" t="str">
        <x:f>IF(B205="","",173.33)</x:f>
      </x:c>
      <x:c r="M205" s="58" t="str">
        <x:f>IF(OR(D205="",L205=""),"",D205/L205)</x:f>
      </x:c>
      <x:c r="N205" s="76" t="n"/>
      <x:c r="O205" s="76" t="str">
        <x:f>IF(OR(M205="",N205=""),"",M205*N205)</x:f>
      </x:c>
      <x:c r="P205" s="76" t="str">
        <x:f>IF(B205="","",6732)</x:f>
      </x:c>
      <x:c r="Q205" s="76" t="str">
        <x:f>IF(OR(D205="",P205=""),"",D205*P205)</x:f>
      </x:c>
      <x:c r="R205" s="56" t="n"/>
      <x:c r="S205" s="56" t="n"/>
      <x:c r="T205" s="74" t="n"/>
      <x:c r="U205" s="56" t="n"/>
    </x:row>
    <x:row r="206">
      <x:c r="A206" s="61" t="str">
        <x:f>IF(B206="","","TL-"&amp;TEXT(ROW()-4,"0000"))</x:f>
      </x:c>
      <x:c r="B206" s="79" t="n"/>
      <x:c r="C206" s="61" t="n"/>
      <x:c r="D206" s="63" t="n"/>
      <x:c r="E206" s="61" t="n"/>
      <x:c r="F206" s="61" t="n"/>
      <x:c r="G206" s="61" t="n"/>
      <x:c r="H206" s="61" t="n"/>
      <x:c r="I206" s="61" t="n"/>
      <x:c r="J206" s="61" t="n"/>
      <x:c r="K206" s="61" t="n"/>
      <x:c r="L206" s="63" t="str">
        <x:f>IF(B206="","",173.33)</x:f>
      </x:c>
      <x:c r="M206" s="63" t="str">
        <x:f>IF(OR(D206="",L206=""),"",D206/L206)</x:f>
      </x:c>
      <x:c r="N206" s="82" t="n"/>
      <x:c r="O206" s="82" t="str">
        <x:f>IF(OR(M206="",N206=""),"",M206*N206)</x:f>
      </x:c>
      <x:c r="P206" s="82" t="str">
        <x:f>IF(B206="","",6732)</x:f>
      </x:c>
      <x:c r="Q206" s="82" t="str">
        <x:f>IF(OR(D206="",P206=""),"",D206*P206)</x:f>
      </x:c>
      <x:c r="R206" s="61" t="n"/>
      <x:c r="S206" s="61" t="n"/>
      <x:c r="T206" s="79" t="n"/>
      <x:c r="U206" s="61" t="n"/>
    </x:row>
    <x:row r="207">
      <x:c r="A207" s="56" t="str">
        <x:f>IF(B207="","","TL-"&amp;TEXT(ROW()-4,"0000"))</x:f>
      </x:c>
      <x:c r="B207" s="74" t="n"/>
      <x:c r="C207" s="56" t="n"/>
      <x:c r="D207" s="58" t="n"/>
      <x:c r="E207" s="56" t="n"/>
      <x:c r="F207" s="56" t="n"/>
      <x:c r="G207" s="56" t="n"/>
      <x:c r="H207" s="56" t="n"/>
      <x:c r="I207" s="56" t="n"/>
      <x:c r="J207" s="56" t="n"/>
      <x:c r="K207" s="56" t="n"/>
      <x:c r="L207" s="58" t="str">
        <x:f>IF(B207="","",173.33)</x:f>
      </x:c>
      <x:c r="M207" s="58" t="str">
        <x:f>IF(OR(D207="",L207=""),"",D207/L207)</x:f>
      </x:c>
      <x:c r="N207" s="76" t="n"/>
      <x:c r="O207" s="76" t="str">
        <x:f>IF(OR(M207="",N207=""),"",M207*N207)</x:f>
      </x:c>
      <x:c r="P207" s="76" t="str">
        <x:f>IF(B207="","",6732)</x:f>
      </x:c>
      <x:c r="Q207" s="76" t="str">
        <x:f>IF(OR(D207="",P207=""),"",D207*P207)</x:f>
      </x:c>
      <x:c r="R207" s="56" t="n"/>
      <x:c r="S207" s="56" t="n"/>
      <x:c r="T207" s="74" t="n"/>
      <x:c r="U207" s="56" t="n"/>
    </x:row>
    <x:row r="208">
      <x:c r="A208" s="61" t="str">
        <x:f>IF(B208="","","TL-"&amp;TEXT(ROW()-4,"0000"))</x:f>
      </x:c>
      <x:c r="B208" s="79" t="n"/>
      <x:c r="C208" s="61" t="n"/>
      <x:c r="D208" s="63" t="n"/>
      <x:c r="E208" s="61" t="n"/>
      <x:c r="F208" s="61" t="n"/>
      <x:c r="G208" s="61" t="n"/>
      <x:c r="H208" s="61" t="n"/>
      <x:c r="I208" s="61" t="n"/>
      <x:c r="J208" s="61" t="n"/>
      <x:c r="K208" s="61" t="n"/>
      <x:c r="L208" s="63" t="str">
        <x:f>IF(B208="","",173.33)</x:f>
      </x:c>
      <x:c r="M208" s="63" t="str">
        <x:f>IF(OR(D208="",L208=""),"",D208/L208)</x:f>
      </x:c>
      <x:c r="N208" s="82" t="n"/>
      <x:c r="O208" s="82" t="str">
        <x:f>IF(OR(M208="",N208=""),"",M208*N208)</x:f>
      </x:c>
      <x:c r="P208" s="82" t="str">
        <x:f>IF(B208="","",6732)</x:f>
      </x:c>
      <x:c r="Q208" s="82" t="str">
        <x:f>IF(OR(D208="",P208=""),"",D208*P208)</x:f>
      </x:c>
      <x:c r="R208" s="61" t="n"/>
      <x:c r="S208" s="61" t="n"/>
      <x:c r="T208" s="79" t="n"/>
      <x:c r="U208" s="61" t="n"/>
    </x:row>
    <x:row r="209">
      <x:c r="A209" s="56" t="str">
        <x:f>IF(B209="","","TL-"&amp;TEXT(ROW()-4,"0000"))</x:f>
      </x:c>
      <x:c r="B209" s="74" t="n"/>
      <x:c r="C209" s="56" t="n"/>
      <x:c r="D209" s="58" t="n"/>
      <x:c r="E209" s="56" t="n"/>
      <x:c r="F209" s="56" t="n"/>
      <x:c r="G209" s="56" t="n"/>
      <x:c r="H209" s="56" t="n"/>
      <x:c r="I209" s="56" t="n"/>
      <x:c r="J209" s="56" t="n"/>
      <x:c r="K209" s="56" t="n"/>
      <x:c r="L209" s="58" t="str">
        <x:f>IF(B209="","",173.33)</x:f>
      </x:c>
      <x:c r="M209" s="58" t="str">
        <x:f>IF(OR(D209="",L209=""),"",D209/L209)</x:f>
      </x:c>
      <x:c r="N209" s="76" t="n"/>
      <x:c r="O209" s="76" t="str">
        <x:f>IF(OR(M209="",N209=""),"",M209*N209)</x:f>
      </x:c>
      <x:c r="P209" s="76" t="str">
        <x:f>IF(B209="","",6732)</x:f>
      </x:c>
      <x:c r="Q209" s="76" t="str">
        <x:f>IF(OR(D209="",P209=""),"",D209*P209)</x:f>
      </x:c>
      <x:c r="R209" s="56" t="n"/>
      <x:c r="S209" s="56" t="n"/>
      <x:c r="T209" s="74" t="n"/>
      <x:c r="U209" s="56" t="n"/>
    </x:row>
    <x:row r="210">
      <x:c r="A210" s="61" t="str">
        <x:f>IF(B210="","","TL-"&amp;TEXT(ROW()-4,"0000"))</x:f>
      </x:c>
      <x:c r="B210" s="79" t="n"/>
      <x:c r="C210" s="61" t="n"/>
      <x:c r="D210" s="63" t="n"/>
      <x:c r="E210" s="61" t="n"/>
      <x:c r="F210" s="61" t="n"/>
      <x:c r="G210" s="61" t="n"/>
      <x:c r="H210" s="61" t="n"/>
      <x:c r="I210" s="61" t="n"/>
      <x:c r="J210" s="61" t="n"/>
      <x:c r="K210" s="61" t="n"/>
      <x:c r="L210" s="63" t="str">
        <x:f>IF(B210="","",173.33)</x:f>
      </x:c>
      <x:c r="M210" s="63" t="str">
        <x:f>IF(OR(D210="",L210=""),"",D210/L210)</x:f>
      </x:c>
      <x:c r="N210" s="82" t="n"/>
      <x:c r="O210" s="82" t="str">
        <x:f>IF(OR(M210="",N210=""),"",M210*N210)</x:f>
      </x:c>
      <x:c r="P210" s="82" t="str">
        <x:f>IF(B210="","",6732)</x:f>
      </x:c>
      <x:c r="Q210" s="82" t="str">
        <x:f>IF(OR(D210="",P210=""),"",D210*P210)</x:f>
      </x:c>
      <x:c r="R210" s="61" t="n"/>
      <x:c r="S210" s="61" t="n"/>
      <x:c r="T210" s="79" t="n"/>
      <x:c r="U210" s="61" t="n"/>
    </x:row>
    <x:row r="211">
      <x:c r="A211" s="56" t="str">
        <x:f>IF(B211="","","TL-"&amp;TEXT(ROW()-4,"0000"))</x:f>
      </x:c>
      <x:c r="B211" s="74" t="n"/>
      <x:c r="C211" s="56" t="n"/>
      <x:c r="D211" s="58" t="n"/>
      <x:c r="E211" s="56" t="n"/>
      <x:c r="F211" s="56" t="n"/>
      <x:c r="G211" s="56" t="n"/>
      <x:c r="H211" s="56" t="n"/>
      <x:c r="I211" s="56" t="n"/>
      <x:c r="J211" s="56" t="n"/>
      <x:c r="K211" s="56" t="n"/>
      <x:c r="L211" s="58" t="str">
        <x:f>IF(B211="","",173.33)</x:f>
      </x:c>
      <x:c r="M211" s="58" t="str">
        <x:f>IF(OR(D211="",L211=""),"",D211/L211)</x:f>
      </x:c>
      <x:c r="N211" s="76" t="n"/>
      <x:c r="O211" s="76" t="str">
        <x:f>IF(OR(M211="",N211=""),"",M211*N211)</x:f>
      </x:c>
      <x:c r="P211" s="76" t="str">
        <x:f>IF(B211="","",6732)</x:f>
      </x:c>
      <x:c r="Q211" s="76" t="str">
        <x:f>IF(OR(D211="",P211=""),"",D211*P211)</x:f>
      </x:c>
      <x:c r="R211" s="56" t="n"/>
      <x:c r="S211" s="56" t="n"/>
      <x:c r="T211" s="74" t="n"/>
      <x:c r="U211" s="56" t="n"/>
    </x:row>
    <x:row r="212">
      <x:c r="A212" s="61" t="str">
        <x:f>IF(B212="","","TL-"&amp;TEXT(ROW()-4,"0000"))</x:f>
      </x:c>
      <x:c r="B212" s="79" t="n"/>
      <x:c r="C212" s="61" t="n"/>
      <x:c r="D212" s="63" t="n"/>
      <x:c r="E212" s="61" t="n"/>
      <x:c r="F212" s="61" t="n"/>
      <x:c r="G212" s="61" t="n"/>
      <x:c r="H212" s="61" t="n"/>
      <x:c r="I212" s="61" t="n"/>
      <x:c r="J212" s="61" t="n"/>
      <x:c r="K212" s="61" t="n"/>
      <x:c r="L212" s="63" t="str">
        <x:f>IF(B212="","",173.33)</x:f>
      </x:c>
      <x:c r="M212" s="63" t="str">
        <x:f>IF(OR(D212="",L212=""),"",D212/L212)</x:f>
      </x:c>
      <x:c r="N212" s="82" t="n"/>
      <x:c r="O212" s="82" t="str">
        <x:f>IF(OR(M212="",N212=""),"",M212*N212)</x:f>
      </x:c>
      <x:c r="P212" s="82" t="str">
        <x:f>IF(B212="","",6732)</x:f>
      </x:c>
      <x:c r="Q212" s="82" t="str">
        <x:f>IF(OR(D212="",P212=""),"",D212*P212)</x:f>
      </x:c>
      <x:c r="R212" s="61" t="n"/>
      <x:c r="S212" s="61" t="n"/>
      <x:c r="T212" s="79" t="n"/>
      <x:c r="U212" s="61" t="n"/>
    </x:row>
    <x:row r="213">
      <x:c r="A213" s="56" t="str">
        <x:f>IF(B213="","","TL-"&amp;TEXT(ROW()-4,"0000"))</x:f>
      </x:c>
      <x:c r="B213" s="74" t="n"/>
      <x:c r="C213" s="56" t="n"/>
      <x:c r="D213" s="58" t="n"/>
      <x:c r="E213" s="56" t="n"/>
      <x:c r="F213" s="56" t="n"/>
      <x:c r="G213" s="56" t="n"/>
      <x:c r="H213" s="56" t="n"/>
      <x:c r="I213" s="56" t="n"/>
      <x:c r="J213" s="56" t="n"/>
      <x:c r="K213" s="56" t="n"/>
      <x:c r="L213" s="58" t="str">
        <x:f>IF(B213="","",173.33)</x:f>
      </x:c>
      <x:c r="M213" s="58" t="str">
        <x:f>IF(OR(D213="",L213=""),"",D213/L213)</x:f>
      </x:c>
      <x:c r="N213" s="76" t="n"/>
      <x:c r="O213" s="76" t="str">
        <x:f>IF(OR(M213="",N213=""),"",M213*N213)</x:f>
      </x:c>
      <x:c r="P213" s="76" t="str">
        <x:f>IF(B213="","",6732)</x:f>
      </x:c>
      <x:c r="Q213" s="76" t="str">
        <x:f>IF(OR(D213="",P213=""),"",D213*P213)</x:f>
      </x:c>
      <x:c r="R213" s="56" t="n"/>
      <x:c r="S213" s="56" t="n"/>
      <x:c r="T213" s="74" t="n"/>
      <x:c r="U213" s="56" t="n"/>
    </x:row>
    <x:row r="214">
      <x:c r="A214" s="61" t="str">
        <x:f>IF(B214="","","TL-"&amp;TEXT(ROW()-4,"0000"))</x:f>
      </x:c>
      <x:c r="B214" s="79" t="n"/>
      <x:c r="C214" s="61" t="n"/>
      <x:c r="D214" s="63" t="n"/>
      <x:c r="E214" s="61" t="n"/>
      <x:c r="F214" s="61" t="n"/>
      <x:c r="G214" s="61" t="n"/>
      <x:c r="H214" s="61" t="n"/>
      <x:c r="I214" s="61" t="n"/>
      <x:c r="J214" s="61" t="n"/>
      <x:c r="K214" s="61" t="n"/>
      <x:c r="L214" s="63" t="str">
        <x:f>IF(B214="","",173.33)</x:f>
      </x:c>
      <x:c r="M214" s="63" t="str">
        <x:f>IF(OR(D214="",L214=""),"",D214/L214)</x:f>
      </x:c>
      <x:c r="N214" s="82" t="n"/>
      <x:c r="O214" s="82" t="str">
        <x:f>IF(OR(M214="",N214=""),"",M214*N214)</x:f>
      </x:c>
      <x:c r="P214" s="82" t="str">
        <x:f>IF(B214="","",6732)</x:f>
      </x:c>
      <x:c r="Q214" s="82" t="str">
        <x:f>IF(OR(D214="",P214=""),"",D214*P214)</x:f>
      </x:c>
      <x:c r="R214" s="61" t="n"/>
      <x:c r="S214" s="61" t="n"/>
      <x:c r="T214" s="79" t="n"/>
      <x:c r="U214" s="61" t="n"/>
    </x:row>
    <x:row r="215">
      <x:c r="A215" s="56" t="str">
        <x:f>IF(B215="","","TL-"&amp;TEXT(ROW()-4,"0000"))</x:f>
      </x:c>
      <x:c r="B215" s="74" t="n"/>
      <x:c r="C215" s="56" t="n"/>
      <x:c r="D215" s="58" t="n"/>
      <x:c r="E215" s="56" t="n"/>
      <x:c r="F215" s="56" t="n"/>
      <x:c r="G215" s="56" t="n"/>
      <x:c r="H215" s="56" t="n"/>
      <x:c r="I215" s="56" t="n"/>
      <x:c r="J215" s="56" t="n"/>
      <x:c r="K215" s="56" t="n"/>
      <x:c r="L215" s="58" t="str">
        <x:f>IF(B215="","",173.33)</x:f>
      </x:c>
      <x:c r="M215" s="58" t="str">
        <x:f>IF(OR(D215="",L215=""),"",D215/L215)</x:f>
      </x:c>
      <x:c r="N215" s="76" t="n"/>
      <x:c r="O215" s="76" t="str">
        <x:f>IF(OR(M215="",N215=""),"",M215*N215)</x:f>
      </x:c>
      <x:c r="P215" s="76" t="str">
        <x:f>IF(B215="","",6732)</x:f>
      </x:c>
      <x:c r="Q215" s="76" t="str">
        <x:f>IF(OR(D215="",P215=""),"",D215*P215)</x:f>
      </x:c>
      <x:c r="R215" s="56" t="n"/>
      <x:c r="S215" s="56" t="n"/>
      <x:c r="T215" s="74" t="n"/>
      <x:c r="U215" s="56" t="n"/>
    </x:row>
    <x:row r="216">
      <x:c r="A216" s="61" t="str">
        <x:f>IF(B216="","","TL-"&amp;TEXT(ROW()-4,"0000"))</x:f>
      </x:c>
      <x:c r="B216" s="79" t="n"/>
      <x:c r="C216" s="61" t="n"/>
      <x:c r="D216" s="63" t="n"/>
      <x:c r="E216" s="61" t="n"/>
      <x:c r="F216" s="61" t="n"/>
      <x:c r="G216" s="61" t="n"/>
      <x:c r="H216" s="61" t="n"/>
      <x:c r="I216" s="61" t="n"/>
      <x:c r="J216" s="61" t="n"/>
      <x:c r="K216" s="61" t="n"/>
      <x:c r="L216" s="63" t="str">
        <x:f>IF(B216="","",173.33)</x:f>
      </x:c>
      <x:c r="M216" s="63" t="str">
        <x:f>IF(OR(D216="",L216=""),"",D216/L216)</x:f>
      </x:c>
      <x:c r="N216" s="82" t="n"/>
      <x:c r="O216" s="82" t="str">
        <x:f>IF(OR(M216="",N216=""),"",M216*N216)</x:f>
      </x:c>
      <x:c r="P216" s="82" t="str">
        <x:f>IF(B216="","",6732)</x:f>
      </x:c>
      <x:c r="Q216" s="82" t="str">
        <x:f>IF(OR(D216="",P216=""),"",D216*P216)</x:f>
      </x:c>
      <x:c r="R216" s="61" t="n"/>
      <x:c r="S216" s="61" t="n"/>
      <x:c r="T216" s="79" t="n"/>
      <x:c r="U216" s="61" t="n"/>
    </x:row>
    <x:row r="217">
      <x:c r="A217" s="56" t="str">
        <x:f>IF(B217="","","TL-"&amp;TEXT(ROW()-4,"0000"))</x:f>
      </x:c>
      <x:c r="B217" s="74" t="n"/>
      <x:c r="C217" s="56" t="n"/>
      <x:c r="D217" s="58" t="n"/>
      <x:c r="E217" s="56" t="n"/>
      <x:c r="F217" s="56" t="n"/>
      <x:c r="G217" s="56" t="n"/>
      <x:c r="H217" s="56" t="n"/>
      <x:c r="I217" s="56" t="n"/>
      <x:c r="J217" s="56" t="n"/>
      <x:c r="K217" s="56" t="n"/>
      <x:c r="L217" s="58" t="str">
        <x:f>IF(B217="","",173.33)</x:f>
      </x:c>
      <x:c r="M217" s="58" t="str">
        <x:f>IF(OR(D217="",L217=""),"",D217/L217)</x:f>
      </x:c>
      <x:c r="N217" s="76" t="n"/>
      <x:c r="O217" s="76" t="str">
        <x:f>IF(OR(M217="",N217=""),"",M217*N217)</x:f>
      </x:c>
      <x:c r="P217" s="76" t="str">
        <x:f>IF(B217="","",6732)</x:f>
      </x:c>
      <x:c r="Q217" s="76" t="str">
        <x:f>IF(OR(D217="",P217=""),"",D217*P217)</x:f>
      </x:c>
      <x:c r="R217" s="56" t="n"/>
      <x:c r="S217" s="56" t="n"/>
      <x:c r="T217" s="74" t="n"/>
      <x:c r="U217" s="56" t="n"/>
    </x:row>
    <x:row r="218">
      <x:c r="A218" s="61" t="str">
        <x:f>IF(B218="","","TL-"&amp;TEXT(ROW()-4,"0000"))</x:f>
      </x:c>
      <x:c r="B218" s="79" t="n"/>
      <x:c r="C218" s="61" t="n"/>
      <x:c r="D218" s="63" t="n"/>
      <x:c r="E218" s="61" t="n"/>
      <x:c r="F218" s="61" t="n"/>
      <x:c r="G218" s="61" t="n"/>
      <x:c r="H218" s="61" t="n"/>
      <x:c r="I218" s="61" t="n"/>
      <x:c r="J218" s="61" t="n"/>
      <x:c r="K218" s="61" t="n"/>
      <x:c r="L218" s="63" t="str">
        <x:f>IF(B218="","",173.33)</x:f>
      </x:c>
      <x:c r="M218" s="63" t="str">
        <x:f>IF(OR(D218="",L218=""),"",D218/L218)</x:f>
      </x:c>
      <x:c r="N218" s="82" t="n"/>
      <x:c r="O218" s="82" t="str">
        <x:f>IF(OR(M218="",N218=""),"",M218*N218)</x:f>
      </x:c>
      <x:c r="P218" s="82" t="str">
        <x:f>IF(B218="","",6732)</x:f>
      </x:c>
      <x:c r="Q218" s="82" t="str">
        <x:f>IF(OR(D218="",P218=""),"",D218*P218)</x:f>
      </x:c>
      <x:c r="R218" s="61" t="n"/>
      <x:c r="S218" s="61" t="n"/>
      <x:c r="T218" s="79" t="n"/>
      <x:c r="U218" s="61" t="n"/>
    </x:row>
    <x:row r="219">
      <x:c r="A219" s="56" t="str">
        <x:f>IF(B219="","","TL-"&amp;TEXT(ROW()-4,"0000"))</x:f>
      </x:c>
      <x:c r="B219" s="74" t="n"/>
      <x:c r="C219" s="56" t="n"/>
      <x:c r="D219" s="58" t="n"/>
      <x:c r="E219" s="56" t="n"/>
      <x:c r="F219" s="56" t="n"/>
      <x:c r="G219" s="56" t="n"/>
      <x:c r="H219" s="56" t="n"/>
      <x:c r="I219" s="56" t="n"/>
      <x:c r="J219" s="56" t="n"/>
      <x:c r="K219" s="56" t="n"/>
      <x:c r="L219" s="58" t="str">
        <x:f>IF(B219="","",173.33)</x:f>
      </x:c>
      <x:c r="M219" s="58" t="str">
        <x:f>IF(OR(D219="",L219=""),"",D219/L219)</x:f>
      </x:c>
      <x:c r="N219" s="76" t="n"/>
      <x:c r="O219" s="76" t="str">
        <x:f>IF(OR(M219="",N219=""),"",M219*N219)</x:f>
      </x:c>
      <x:c r="P219" s="76" t="str">
        <x:f>IF(B219="","",6732)</x:f>
      </x:c>
      <x:c r="Q219" s="76" t="str">
        <x:f>IF(OR(D219="",P219=""),"",D219*P219)</x:f>
      </x:c>
      <x:c r="R219" s="56" t="n"/>
      <x:c r="S219" s="56" t="n"/>
      <x:c r="T219" s="74" t="n"/>
      <x:c r="U219" s="56" t="n"/>
    </x:row>
    <x:row r="220">
      <x:c r="A220" s="61" t="str">
        <x:f>IF(B220="","","TL-"&amp;TEXT(ROW()-4,"0000"))</x:f>
      </x:c>
      <x:c r="B220" s="79" t="n"/>
      <x:c r="C220" s="61" t="n"/>
      <x:c r="D220" s="63" t="n"/>
      <x:c r="E220" s="61" t="n"/>
      <x:c r="F220" s="61" t="n"/>
      <x:c r="G220" s="61" t="n"/>
      <x:c r="H220" s="61" t="n"/>
      <x:c r="I220" s="61" t="n"/>
      <x:c r="J220" s="61" t="n"/>
      <x:c r="K220" s="61" t="n"/>
      <x:c r="L220" s="63" t="str">
        <x:f>IF(B220="","",173.33)</x:f>
      </x:c>
      <x:c r="M220" s="63" t="str">
        <x:f>IF(OR(D220="",L220=""),"",D220/L220)</x:f>
      </x:c>
      <x:c r="N220" s="82" t="n"/>
      <x:c r="O220" s="82" t="str">
        <x:f>IF(OR(M220="",N220=""),"",M220*N220)</x:f>
      </x:c>
      <x:c r="P220" s="82" t="str">
        <x:f>IF(B220="","",6732)</x:f>
      </x:c>
      <x:c r="Q220" s="82" t="str">
        <x:f>IF(OR(D220="",P220=""),"",D220*P220)</x:f>
      </x:c>
      <x:c r="R220" s="61" t="n"/>
      <x:c r="S220" s="61" t="n"/>
      <x:c r="T220" s="79" t="n"/>
      <x:c r="U220" s="61" t="n"/>
    </x:row>
    <x:row r="221">
      <x:c r="A221" s="56" t="str">
        <x:f>IF(B221="","","TL-"&amp;TEXT(ROW()-4,"0000"))</x:f>
      </x:c>
      <x:c r="B221" s="74" t="n"/>
      <x:c r="C221" s="56" t="n"/>
      <x:c r="D221" s="58" t="n"/>
      <x:c r="E221" s="56" t="n"/>
      <x:c r="F221" s="56" t="n"/>
      <x:c r="G221" s="56" t="n"/>
      <x:c r="H221" s="56" t="n"/>
      <x:c r="I221" s="56" t="n"/>
      <x:c r="J221" s="56" t="n"/>
      <x:c r="K221" s="56" t="n"/>
      <x:c r="L221" s="58" t="str">
        <x:f>IF(B221="","",173.33)</x:f>
      </x:c>
      <x:c r="M221" s="58" t="str">
        <x:f>IF(OR(D221="",L221=""),"",D221/L221)</x:f>
      </x:c>
      <x:c r="N221" s="76" t="n"/>
      <x:c r="O221" s="76" t="str">
        <x:f>IF(OR(M221="",N221=""),"",M221*N221)</x:f>
      </x:c>
      <x:c r="P221" s="76" t="str">
        <x:f>IF(B221="","",6732)</x:f>
      </x:c>
      <x:c r="Q221" s="76" t="str">
        <x:f>IF(OR(D221="",P221=""),"",D221*P221)</x:f>
      </x:c>
      <x:c r="R221" s="56" t="n"/>
      <x:c r="S221" s="56" t="n"/>
      <x:c r="T221" s="74" t="n"/>
      <x:c r="U221" s="56" t="n"/>
    </x:row>
    <x:row r="222">
      <x:c r="A222" s="61" t="str">
        <x:f>IF(B222="","","TL-"&amp;TEXT(ROW()-4,"0000"))</x:f>
      </x:c>
      <x:c r="B222" s="79" t="n"/>
      <x:c r="C222" s="61" t="n"/>
      <x:c r="D222" s="63" t="n"/>
      <x:c r="E222" s="61" t="n"/>
      <x:c r="F222" s="61" t="n"/>
      <x:c r="G222" s="61" t="n"/>
      <x:c r="H222" s="61" t="n"/>
      <x:c r="I222" s="61" t="n"/>
      <x:c r="J222" s="61" t="n"/>
      <x:c r="K222" s="61" t="n"/>
      <x:c r="L222" s="63" t="str">
        <x:f>IF(B222="","",173.33)</x:f>
      </x:c>
      <x:c r="M222" s="63" t="str">
        <x:f>IF(OR(D222="",L222=""),"",D222/L222)</x:f>
      </x:c>
      <x:c r="N222" s="82" t="n"/>
      <x:c r="O222" s="82" t="str">
        <x:f>IF(OR(M222="",N222=""),"",M222*N222)</x:f>
      </x:c>
      <x:c r="P222" s="82" t="str">
        <x:f>IF(B222="","",6732)</x:f>
      </x:c>
      <x:c r="Q222" s="82" t="str">
        <x:f>IF(OR(D222="",P222=""),"",D222*P222)</x:f>
      </x:c>
      <x:c r="R222" s="61" t="n"/>
      <x:c r="S222" s="61" t="n"/>
      <x:c r="T222" s="79" t="n"/>
      <x:c r="U222" s="61" t="n"/>
    </x:row>
    <x:row r="223">
      <x:c r="A223" s="56" t="str">
        <x:f>IF(B223="","","TL-"&amp;TEXT(ROW()-4,"0000"))</x:f>
      </x:c>
      <x:c r="B223" s="74" t="n"/>
      <x:c r="C223" s="56" t="n"/>
      <x:c r="D223" s="58" t="n"/>
      <x:c r="E223" s="56" t="n"/>
      <x:c r="F223" s="56" t="n"/>
      <x:c r="G223" s="56" t="n"/>
      <x:c r="H223" s="56" t="n"/>
      <x:c r="I223" s="56" t="n"/>
      <x:c r="J223" s="56" t="n"/>
      <x:c r="K223" s="56" t="n"/>
      <x:c r="L223" s="58" t="str">
        <x:f>IF(B223="","",173.33)</x:f>
      </x:c>
      <x:c r="M223" s="58" t="str">
        <x:f>IF(OR(D223="",L223=""),"",D223/L223)</x:f>
      </x:c>
      <x:c r="N223" s="76" t="n"/>
      <x:c r="O223" s="76" t="str">
        <x:f>IF(OR(M223="",N223=""),"",M223*N223)</x:f>
      </x:c>
      <x:c r="P223" s="76" t="str">
        <x:f>IF(B223="","",6732)</x:f>
      </x:c>
      <x:c r="Q223" s="76" t="str">
        <x:f>IF(OR(D223="",P223=""),"",D223*P223)</x:f>
      </x:c>
      <x:c r="R223" s="56" t="n"/>
      <x:c r="S223" s="56" t="n"/>
      <x:c r="T223" s="74" t="n"/>
      <x:c r="U223" s="56" t="n"/>
    </x:row>
    <x:row r="224">
      <x:c r="A224" s="61" t="str">
        <x:f>IF(B224="","","TL-"&amp;TEXT(ROW()-4,"0000"))</x:f>
      </x:c>
      <x:c r="B224" s="79" t="n"/>
      <x:c r="C224" s="61" t="n"/>
      <x:c r="D224" s="63" t="n"/>
      <x:c r="E224" s="61" t="n"/>
      <x:c r="F224" s="61" t="n"/>
      <x:c r="G224" s="61" t="n"/>
      <x:c r="H224" s="61" t="n"/>
      <x:c r="I224" s="61" t="n"/>
      <x:c r="J224" s="61" t="n"/>
      <x:c r="K224" s="61" t="n"/>
      <x:c r="L224" s="63" t="str">
        <x:f>IF(B224="","",173.33)</x:f>
      </x:c>
      <x:c r="M224" s="63" t="str">
        <x:f>IF(OR(D224="",L224=""),"",D224/L224)</x:f>
      </x:c>
      <x:c r="N224" s="82" t="n"/>
      <x:c r="O224" s="82" t="str">
        <x:f>IF(OR(M224="",N224=""),"",M224*N224)</x:f>
      </x:c>
      <x:c r="P224" s="82" t="str">
        <x:f>IF(B224="","",6732)</x:f>
      </x:c>
      <x:c r="Q224" s="82" t="str">
        <x:f>IF(OR(D224="",P224=""),"",D224*P224)</x:f>
      </x:c>
      <x:c r="R224" s="61" t="n"/>
      <x:c r="S224" s="61" t="n"/>
      <x:c r="T224" s="79" t="n"/>
      <x:c r="U224" s="61" t="n"/>
    </x:row>
    <x:row r="225">
      <x:c r="A225" s="56" t="str">
        <x:f>IF(B225="","","TL-"&amp;TEXT(ROW()-4,"0000"))</x:f>
      </x:c>
      <x:c r="B225" s="74" t="n"/>
      <x:c r="C225" s="56" t="n"/>
      <x:c r="D225" s="58" t="n"/>
      <x:c r="E225" s="56" t="n"/>
      <x:c r="F225" s="56" t="n"/>
      <x:c r="G225" s="56" t="n"/>
      <x:c r="H225" s="56" t="n"/>
      <x:c r="I225" s="56" t="n"/>
      <x:c r="J225" s="56" t="n"/>
      <x:c r="K225" s="56" t="n"/>
      <x:c r="L225" s="58" t="str">
        <x:f>IF(B225="","",173.33)</x:f>
      </x:c>
      <x:c r="M225" s="58" t="str">
        <x:f>IF(OR(D225="",L225=""),"",D225/L225)</x:f>
      </x:c>
      <x:c r="N225" s="76" t="n"/>
      <x:c r="O225" s="76" t="str">
        <x:f>IF(OR(M225="",N225=""),"",M225*N225)</x:f>
      </x:c>
      <x:c r="P225" s="76" t="str">
        <x:f>IF(B225="","",6732)</x:f>
      </x:c>
      <x:c r="Q225" s="76" t="str">
        <x:f>IF(OR(D225="",P225=""),"",D225*P225)</x:f>
      </x:c>
      <x:c r="R225" s="56" t="n"/>
      <x:c r="S225" s="56" t="n"/>
      <x:c r="T225" s="74" t="n"/>
      <x:c r="U225" s="56" t="n"/>
    </x:row>
    <x:row r="226">
      <x:c r="A226" s="61" t="str">
        <x:f>IF(B226="","","TL-"&amp;TEXT(ROW()-4,"0000"))</x:f>
      </x:c>
      <x:c r="B226" s="79" t="n"/>
      <x:c r="C226" s="61" t="n"/>
      <x:c r="D226" s="63" t="n"/>
      <x:c r="E226" s="61" t="n"/>
      <x:c r="F226" s="61" t="n"/>
      <x:c r="G226" s="61" t="n"/>
      <x:c r="H226" s="61" t="n"/>
      <x:c r="I226" s="61" t="n"/>
      <x:c r="J226" s="61" t="n"/>
      <x:c r="K226" s="61" t="n"/>
      <x:c r="L226" s="63" t="str">
        <x:f>IF(B226="","",173.33)</x:f>
      </x:c>
      <x:c r="M226" s="63" t="str">
        <x:f>IF(OR(D226="",L226=""),"",D226/L226)</x:f>
      </x:c>
      <x:c r="N226" s="82" t="n"/>
      <x:c r="O226" s="82" t="str">
        <x:f>IF(OR(M226="",N226=""),"",M226*N226)</x:f>
      </x:c>
      <x:c r="P226" s="82" t="str">
        <x:f>IF(B226="","",6732)</x:f>
      </x:c>
      <x:c r="Q226" s="82" t="str">
        <x:f>IF(OR(D226="",P226=""),"",D226*P226)</x:f>
      </x:c>
      <x:c r="R226" s="61" t="n"/>
      <x:c r="S226" s="61" t="n"/>
      <x:c r="T226" s="79" t="n"/>
      <x:c r="U226" s="61" t="n"/>
    </x:row>
    <x:row r="227">
      <x:c r="A227" s="56" t="str">
        <x:f>IF(B227="","","TL-"&amp;TEXT(ROW()-4,"0000"))</x:f>
      </x:c>
      <x:c r="B227" s="74" t="n"/>
      <x:c r="C227" s="56" t="n"/>
      <x:c r="D227" s="58" t="n"/>
      <x:c r="E227" s="56" t="n"/>
      <x:c r="F227" s="56" t="n"/>
      <x:c r="G227" s="56" t="n"/>
      <x:c r="H227" s="56" t="n"/>
      <x:c r="I227" s="56" t="n"/>
      <x:c r="J227" s="56" t="n"/>
      <x:c r="K227" s="56" t="n"/>
      <x:c r="L227" s="58" t="str">
        <x:f>IF(B227="","",173.33)</x:f>
      </x:c>
      <x:c r="M227" s="58" t="str">
        <x:f>IF(OR(D227="",L227=""),"",D227/L227)</x:f>
      </x:c>
      <x:c r="N227" s="76" t="n"/>
      <x:c r="O227" s="76" t="str">
        <x:f>IF(OR(M227="",N227=""),"",M227*N227)</x:f>
      </x:c>
      <x:c r="P227" s="76" t="str">
        <x:f>IF(B227="","",6732)</x:f>
      </x:c>
      <x:c r="Q227" s="76" t="str">
        <x:f>IF(OR(D227="",P227=""),"",D227*P227)</x:f>
      </x:c>
      <x:c r="R227" s="56" t="n"/>
      <x:c r="S227" s="56" t="n"/>
      <x:c r="T227" s="74" t="n"/>
      <x:c r="U227" s="56" t="n"/>
    </x:row>
    <x:row r="228">
      <x:c r="A228" s="61" t="str">
        <x:f>IF(B228="","","TL-"&amp;TEXT(ROW()-4,"0000"))</x:f>
      </x:c>
      <x:c r="B228" s="79" t="n"/>
      <x:c r="C228" s="61" t="n"/>
      <x:c r="D228" s="63" t="n"/>
      <x:c r="E228" s="61" t="n"/>
      <x:c r="F228" s="61" t="n"/>
      <x:c r="G228" s="61" t="n"/>
      <x:c r="H228" s="61" t="n"/>
      <x:c r="I228" s="61" t="n"/>
      <x:c r="J228" s="61" t="n"/>
      <x:c r="K228" s="61" t="n"/>
      <x:c r="L228" s="63" t="str">
        <x:f>IF(B228="","",173.33)</x:f>
      </x:c>
      <x:c r="M228" s="63" t="str">
        <x:f>IF(OR(D228="",L228=""),"",D228/L228)</x:f>
      </x:c>
      <x:c r="N228" s="82" t="n"/>
      <x:c r="O228" s="82" t="str">
        <x:f>IF(OR(M228="",N228=""),"",M228*N228)</x:f>
      </x:c>
      <x:c r="P228" s="82" t="str">
        <x:f>IF(B228="","",6732)</x:f>
      </x:c>
      <x:c r="Q228" s="82" t="str">
        <x:f>IF(OR(D228="",P228=""),"",D228*P228)</x:f>
      </x:c>
      <x:c r="R228" s="61" t="n"/>
      <x:c r="S228" s="61" t="n"/>
      <x:c r="T228" s="79" t="n"/>
      <x:c r="U228" s="61" t="n"/>
    </x:row>
    <x:row r="229">
      <x:c r="A229" s="56" t="str">
        <x:f>IF(B229="","","TL-"&amp;TEXT(ROW()-4,"0000"))</x:f>
      </x:c>
      <x:c r="B229" s="74" t="n"/>
      <x:c r="C229" s="56" t="n"/>
      <x:c r="D229" s="58" t="n"/>
      <x:c r="E229" s="56" t="n"/>
      <x:c r="F229" s="56" t="n"/>
      <x:c r="G229" s="56" t="n"/>
      <x:c r="H229" s="56" t="n"/>
      <x:c r="I229" s="56" t="n"/>
      <x:c r="J229" s="56" t="n"/>
      <x:c r="K229" s="56" t="n"/>
      <x:c r="L229" s="58" t="str">
        <x:f>IF(B229="","",173.33)</x:f>
      </x:c>
      <x:c r="M229" s="58" t="str">
        <x:f>IF(OR(D229="",L229=""),"",D229/L229)</x:f>
      </x:c>
      <x:c r="N229" s="76" t="n"/>
      <x:c r="O229" s="76" t="str">
        <x:f>IF(OR(M229="",N229=""),"",M229*N229)</x:f>
      </x:c>
      <x:c r="P229" s="76" t="str">
        <x:f>IF(B229="","",6732)</x:f>
      </x:c>
      <x:c r="Q229" s="76" t="str">
        <x:f>IF(OR(D229="",P229=""),"",D229*P229)</x:f>
      </x:c>
      <x:c r="R229" s="56" t="n"/>
      <x:c r="S229" s="56" t="n"/>
      <x:c r="T229" s="74" t="n"/>
      <x:c r="U229" s="56" t="n"/>
    </x:row>
    <x:row r="230">
      <x:c r="A230" s="61" t="str">
        <x:f>IF(B230="","","TL-"&amp;TEXT(ROW()-4,"0000"))</x:f>
      </x:c>
      <x:c r="B230" s="79" t="n"/>
      <x:c r="C230" s="61" t="n"/>
      <x:c r="D230" s="63" t="n"/>
      <x:c r="E230" s="61" t="n"/>
      <x:c r="F230" s="61" t="n"/>
      <x:c r="G230" s="61" t="n"/>
      <x:c r="H230" s="61" t="n"/>
      <x:c r="I230" s="61" t="n"/>
      <x:c r="J230" s="61" t="n"/>
      <x:c r="K230" s="61" t="n"/>
      <x:c r="L230" s="63" t="str">
        <x:f>IF(B230="","",173.33)</x:f>
      </x:c>
      <x:c r="M230" s="63" t="str">
        <x:f>IF(OR(D230="",L230=""),"",D230/L230)</x:f>
      </x:c>
      <x:c r="N230" s="82" t="n"/>
      <x:c r="O230" s="82" t="str">
        <x:f>IF(OR(M230="",N230=""),"",M230*N230)</x:f>
      </x:c>
      <x:c r="P230" s="82" t="str">
        <x:f>IF(B230="","",6732)</x:f>
      </x:c>
      <x:c r="Q230" s="82" t="str">
        <x:f>IF(OR(D230="",P230=""),"",D230*P230)</x:f>
      </x:c>
      <x:c r="R230" s="61" t="n"/>
      <x:c r="S230" s="61" t="n"/>
      <x:c r="T230" s="79" t="n"/>
      <x:c r="U230" s="61" t="n"/>
    </x:row>
    <x:row r="231">
      <x:c r="A231" s="56" t="str">
        <x:f>IF(B231="","","TL-"&amp;TEXT(ROW()-4,"0000"))</x:f>
      </x:c>
      <x:c r="B231" s="74" t="n"/>
      <x:c r="C231" s="56" t="n"/>
      <x:c r="D231" s="58" t="n"/>
      <x:c r="E231" s="56" t="n"/>
      <x:c r="F231" s="56" t="n"/>
      <x:c r="G231" s="56" t="n"/>
      <x:c r="H231" s="56" t="n"/>
      <x:c r="I231" s="56" t="n"/>
      <x:c r="J231" s="56" t="n"/>
      <x:c r="K231" s="56" t="n"/>
      <x:c r="L231" s="58" t="str">
        <x:f>IF(B231="","",173.33)</x:f>
      </x:c>
      <x:c r="M231" s="58" t="str">
        <x:f>IF(OR(D231="",L231=""),"",D231/L231)</x:f>
      </x:c>
      <x:c r="N231" s="76" t="n"/>
      <x:c r="O231" s="76" t="str">
        <x:f>IF(OR(M231="",N231=""),"",M231*N231)</x:f>
      </x:c>
      <x:c r="P231" s="76" t="str">
        <x:f>IF(B231="","",6732)</x:f>
      </x:c>
      <x:c r="Q231" s="76" t="str">
        <x:f>IF(OR(D231="",P231=""),"",D231*P231)</x:f>
      </x:c>
      <x:c r="R231" s="56" t="n"/>
      <x:c r="S231" s="56" t="n"/>
      <x:c r="T231" s="74" t="n"/>
      <x:c r="U231" s="56" t="n"/>
    </x:row>
    <x:row r="232">
      <x:c r="A232" s="61" t="str">
        <x:f>IF(B232="","","TL-"&amp;TEXT(ROW()-4,"0000"))</x:f>
      </x:c>
      <x:c r="B232" s="79" t="n"/>
      <x:c r="C232" s="61" t="n"/>
      <x:c r="D232" s="63" t="n"/>
      <x:c r="E232" s="61" t="n"/>
      <x:c r="F232" s="61" t="n"/>
      <x:c r="G232" s="61" t="n"/>
      <x:c r="H232" s="61" t="n"/>
      <x:c r="I232" s="61" t="n"/>
      <x:c r="J232" s="61" t="n"/>
      <x:c r="K232" s="61" t="n"/>
      <x:c r="L232" s="63" t="str">
        <x:f>IF(B232="","",173.33)</x:f>
      </x:c>
      <x:c r="M232" s="63" t="str">
        <x:f>IF(OR(D232="",L232=""),"",D232/L232)</x:f>
      </x:c>
      <x:c r="N232" s="82" t="n"/>
      <x:c r="O232" s="82" t="str">
        <x:f>IF(OR(M232="",N232=""),"",M232*N232)</x:f>
      </x:c>
      <x:c r="P232" s="82" t="str">
        <x:f>IF(B232="","",6732)</x:f>
      </x:c>
      <x:c r="Q232" s="82" t="str">
        <x:f>IF(OR(D232="",P232=""),"",D232*P232)</x:f>
      </x:c>
      <x:c r="R232" s="61" t="n"/>
      <x:c r="S232" s="61" t="n"/>
      <x:c r="T232" s="79" t="n"/>
      <x:c r="U232" s="61" t="n"/>
    </x:row>
    <x:row r="233">
      <x:c r="A233" s="56" t="str">
        <x:f>IF(B233="","","TL-"&amp;TEXT(ROW()-4,"0000"))</x:f>
      </x:c>
      <x:c r="B233" s="74" t="n"/>
      <x:c r="C233" s="56" t="n"/>
      <x:c r="D233" s="58" t="n"/>
      <x:c r="E233" s="56" t="n"/>
      <x:c r="F233" s="56" t="n"/>
      <x:c r="G233" s="56" t="n"/>
      <x:c r="H233" s="56" t="n"/>
      <x:c r="I233" s="56" t="n"/>
      <x:c r="J233" s="56" t="n"/>
      <x:c r="K233" s="56" t="n"/>
      <x:c r="L233" s="58" t="str">
        <x:f>IF(B233="","",173.33)</x:f>
      </x:c>
      <x:c r="M233" s="58" t="str">
        <x:f>IF(OR(D233="",L233=""),"",D233/L233)</x:f>
      </x:c>
      <x:c r="N233" s="76" t="n"/>
      <x:c r="O233" s="76" t="str">
        <x:f>IF(OR(M233="",N233=""),"",M233*N233)</x:f>
      </x:c>
      <x:c r="P233" s="76" t="str">
        <x:f>IF(B233="","",6732)</x:f>
      </x:c>
      <x:c r="Q233" s="76" t="str">
        <x:f>IF(OR(D233="",P233=""),"",D233*P233)</x:f>
      </x:c>
      <x:c r="R233" s="56" t="n"/>
      <x:c r="S233" s="56" t="n"/>
      <x:c r="T233" s="74" t="n"/>
      <x:c r="U233" s="56" t="n"/>
    </x:row>
    <x:row r="234">
      <x:c r="A234" s="61" t="str">
        <x:f>IF(B234="","","TL-"&amp;TEXT(ROW()-4,"0000"))</x:f>
      </x:c>
      <x:c r="B234" s="79" t="n"/>
      <x:c r="C234" s="61" t="n"/>
      <x:c r="D234" s="63" t="n"/>
      <x:c r="E234" s="61" t="n"/>
      <x:c r="F234" s="61" t="n"/>
      <x:c r="G234" s="61" t="n"/>
      <x:c r="H234" s="61" t="n"/>
      <x:c r="I234" s="61" t="n"/>
      <x:c r="J234" s="61" t="n"/>
      <x:c r="K234" s="61" t="n"/>
      <x:c r="L234" s="63" t="str">
        <x:f>IF(B234="","",173.33)</x:f>
      </x:c>
      <x:c r="M234" s="63" t="str">
        <x:f>IF(OR(D234="",L234=""),"",D234/L234)</x:f>
      </x:c>
      <x:c r="N234" s="82" t="n"/>
      <x:c r="O234" s="82" t="str">
        <x:f>IF(OR(M234="",N234=""),"",M234*N234)</x:f>
      </x:c>
      <x:c r="P234" s="82" t="str">
        <x:f>IF(B234="","",6732)</x:f>
      </x:c>
      <x:c r="Q234" s="82" t="str">
        <x:f>IF(OR(D234="",P234=""),"",D234*P234)</x:f>
      </x:c>
      <x:c r="R234" s="61" t="n"/>
      <x:c r="S234" s="61" t="n"/>
      <x:c r="T234" s="79" t="n"/>
      <x:c r="U234" s="61" t="n"/>
    </x:row>
    <x:row r="235">
      <x:c r="A235" s="56" t="str">
        <x:f>IF(B235="","","TL-"&amp;TEXT(ROW()-4,"0000"))</x:f>
      </x:c>
      <x:c r="B235" s="74" t="n"/>
      <x:c r="C235" s="56" t="n"/>
      <x:c r="D235" s="58" t="n"/>
      <x:c r="E235" s="56" t="n"/>
      <x:c r="F235" s="56" t="n"/>
      <x:c r="G235" s="56" t="n"/>
      <x:c r="H235" s="56" t="n"/>
      <x:c r="I235" s="56" t="n"/>
      <x:c r="J235" s="56" t="n"/>
      <x:c r="K235" s="56" t="n"/>
      <x:c r="L235" s="58" t="str">
        <x:f>IF(B235="","",173.33)</x:f>
      </x:c>
      <x:c r="M235" s="58" t="str">
        <x:f>IF(OR(D235="",L235=""),"",D235/L235)</x:f>
      </x:c>
      <x:c r="N235" s="76" t="n"/>
      <x:c r="O235" s="76" t="str">
        <x:f>IF(OR(M235="",N235=""),"",M235*N235)</x:f>
      </x:c>
      <x:c r="P235" s="76" t="str">
        <x:f>IF(B235="","",6732)</x:f>
      </x:c>
      <x:c r="Q235" s="76" t="str">
        <x:f>IF(OR(D235="",P235=""),"",D235*P235)</x:f>
      </x:c>
      <x:c r="R235" s="56" t="n"/>
      <x:c r="S235" s="56" t="n"/>
      <x:c r="T235" s="74" t="n"/>
      <x:c r="U235" s="56" t="n"/>
    </x:row>
    <x:row r="236">
      <x:c r="A236" s="61" t="str">
        <x:f>IF(B236="","","TL-"&amp;TEXT(ROW()-4,"0000"))</x:f>
      </x:c>
      <x:c r="B236" s="79" t="n"/>
      <x:c r="C236" s="61" t="n"/>
      <x:c r="D236" s="63" t="n"/>
      <x:c r="E236" s="61" t="n"/>
      <x:c r="F236" s="61" t="n"/>
      <x:c r="G236" s="61" t="n"/>
      <x:c r="H236" s="61" t="n"/>
      <x:c r="I236" s="61" t="n"/>
      <x:c r="J236" s="61" t="n"/>
      <x:c r="K236" s="61" t="n"/>
      <x:c r="L236" s="63" t="str">
        <x:f>IF(B236="","",173.33)</x:f>
      </x:c>
      <x:c r="M236" s="63" t="str">
        <x:f>IF(OR(D236="",L236=""),"",D236/L236)</x:f>
      </x:c>
      <x:c r="N236" s="82" t="n"/>
      <x:c r="O236" s="82" t="str">
        <x:f>IF(OR(M236="",N236=""),"",M236*N236)</x:f>
      </x:c>
      <x:c r="P236" s="82" t="str">
        <x:f>IF(B236="","",6732)</x:f>
      </x:c>
      <x:c r="Q236" s="82" t="str">
        <x:f>IF(OR(D236="",P236=""),"",D236*P236)</x:f>
      </x:c>
      <x:c r="R236" s="61" t="n"/>
      <x:c r="S236" s="61" t="n"/>
      <x:c r="T236" s="79" t="n"/>
      <x:c r="U236" s="61" t="n"/>
    </x:row>
    <x:row r="237">
      <x:c r="A237" s="56" t="str">
        <x:f>IF(B237="","","TL-"&amp;TEXT(ROW()-4,"0000"))</x:f>
      </x:c>
      <x:c r="B237" s="74" t="n"/>
      <x:c r="C237" s="56" t="n"/>
      <x:c r="D237" s="58" t="n"/>
      <x:c r="E237" s="56" t="n"/>
      <x:c r="F237" s="56" t="n"/>
      <x:c r="G237" s="56" t="n"/>
      <x:c r="H237" s="56" t="n"/>
      <x:c r="I237" s="56" t="n"/>
      <x:c r="J237" s="56" t="n"/>
      <x:c r="K237" s="56" t="n"/>
      <x:c r="L237" s="58" t="str">
        <x:f>IF(B237="","",173.33)</x:f>
      </x:c>
      <x:c r="M237" s="58" t="str">
        <x:f>IF(OR(D237="",L237=""),"",D237/L237)</x:f>
      </x:c>
      <x:c r="N237" s="76" t="n"/>
      <x:c r="O237" s="76" t="str">
        <x:f>IF(OR(M237="",N237=""),"",M237*N237)</x:f>
      </x:c>
      <x:c r="P237" s="76" t="str">
        <x:f>IF(B237="","",6732)</x:f>
      </x:c>
      <x:c r="Q237" s="76" t="str">
        <x:f>IF(OR(D237="",P237=""),"",D237*P237)</x:f>
      </x:c>
      <x:c r="R237" s="56" t="n"/>
      <x:c r="S237" s="56" t="n"/>
      <x:c r="T237" s="74" t="n"/>
      <x:c r="U237" s="56" t="n"/>
    </x:row>
    <x:row r="238">
      <x:c r="A238" s="61" t="str">
        <x:f>IF(B238="","","TL-"&amp;TEXT(ROW()-4,"0000"))</x:f>
      </x:c>
      <x:c r="B238" s="79" t="n"/>
      <x:c r="C238" s="61" t="n"/>
      <x:c r="D238" s="63" t="n"/>
      <x:c r="E238" s="61" t="n"/>
      <x:c r="F238" s="61" t="n"/>
      <x:c r="G238" s="61" t="n"/>
      <x:c r="H238" s="61" t="n"/>
      <x:c r="I238" s="61" t="n"/>
      <x:c r="J238" s="61" t="n"/>
      <x:c r="K238" s="61" t="n"/>
      <x:c r="L238" s="63" t="str">
        <x:f>IF(B238="","",173.33)</x:f>
      </x:c>
      <x:c r="M238" s="63" t="str">
        <x:f>IF(OR(D238="",L238=""),"",D238/L238)</x:f>
      </x:c>
      <x:c r="N238" s="82" t="n"/>
      <x:c r="O238" s="82" t="str">
        <x:f>IF(OR(M238="",N238=""),"",M238*N238)</x:f>
      </x:c>
      <x:c r="P238" s="82" t="str">
        <x:f>IF(B238="","",6732)</x:f>
      </x:c>
      <x:c r="Q238" s="82" t="str">
        <x:f>IF(OR(D238="",P238=""),"",D238*P238)</x:f>
      </x:c>
      <x:c r="R238" s="61" t="n"/>
      <x:c r="S238" s="61" t="n"/>
      <x:c r="T238" s="79" t="n"/>
      <x:c r="U238" s="61" t="n"/>
    </x:row>
    <x:row r="239">
      <x:c r="A239" s="56" t="str">
        <x:f>IF(B239="","","TL-"&amp;TEXT(ROW()-4,"0000"))</x:f>
      </x:c>
      <x:c r="B239" s="74" t="n"/>
      <x:c r="C239" s="56" t="n"/>
      <x:c r="D239" s="58" t="n"/>
      <x:c r="E239" s="56" t="n"/>
      <x:c r="F239" s="56" t="n"/>
      <x:c r="G239" s="56" t="n"/>
      <x:c r="H239" s="56" t="n"/>
      <x:c r="I239" s="56" t="n"/>
      <x:c r="J239" s="56" t="n"/>
      <x:c r="K239" s="56" t="n"/>
      <x:c r="L239" s="58" t="str">
        <x:f>IF(B239="","",173.33)</x:f>
      </x:c>
      <x:c r="M239" s="58" t="str">
        <x:f>IF(OR(D239="",L239=""),"",D239/L239)</x:f>
      </x:c>
      <x:c r="N239" s="76" t="n"/>
      <x:c r="O239" s="76" t="str">
        <x:f>IF(OR(M239="",N239=""),"",M239*N239)</x:f>
      </x:c>
      <x:c r="P239" s="76" t="str">
        <x:f>IF(B239="","",6732)</x:f>
      </x:c>
      <x:c r="Q239" s="76" t="str">
        <x:f>IF(OR(D239="",P239=""),"",D239*P239)</x:f>
      </x:c>
      <x:c r="R239" s="56" t="n"/>
      <x:c r="S239" s="56" t="n"/>
      <x:c r="T239" s="74" t="n"/>
      <x:c r="U239" s="56" t="n"/>
    </x:row>
    <x:row r="240">
      <x:c r="A240" s="61" t="str">
        <x:f>IF(B240="","","TL-"&amp;TEXT(ROW()-4,"0000"))</x:f>
      </x:c>
      <x:c r="B240" s="79" t="n"/>
      <x:c r="C240" s="61" t="n"/>
      <x:c r="D240" s="63" t="n"/>
      <x:c r="E240" s="61" t="n"/>
      <x:c r="F240" s="61" t="n"/>
      <x:c r="G240" s="61" t="n"/>
      <x:c r="H240" s="61" t="n"/>
      <x:c r="I240" s="61" t="n"/>
      <x:c r="J240" s="61" t="n"/>
      <x:c r="K240" s="61" t="n"/>
      <x:c r="L240" s="63" t="str">
        <x:f>IF(B240="","",173.33)</x:f>
      </x:c>
      <x:c r="M240" s="63" t="str">
        <x:f>IF(OR(D240="",L240=""),"",D240/L240)</x:f>
      </x:c>
      <x:c r="N240" s="82" t="n"/>
      <x:c r="O240" s="82" t="str">
        <x:f>IF(OR(M240="",N240=""),"",M240*N240)</x:f>
      </x:c>
      <x:c r="P240" s="82" t="str">
        <x:f>IF(B240="","",6732)</x:f>
      </x:c>
      <x:c r="Q240" s="82" t="str">
        <x:f>IF(OR(D240="",P240=""),"",D240*P240)</x:f>
      </x:c>
      <x:c r="R240" s="61" t="n"/>
      <x:c r="S240" s="61" t="n"/>
      <x:c r="T240" s="79" t="n"/>
      <x:c r="U240" s="61" t="n"/>
    </x:row>
    <x:row r="241">
      <x:c r="A241" s="56" t="str">
        <x:f>IF(B241="","","TL-"&amp;TEXT(ROW()-4,"0000"))</x:f>
      </x:c>
      <x:c r="B241" s="74" t="n"/>
      <x:c r="C241" s="56" t="n"/>
      <x:c r="D241" s="58" t="n"/>
      <x:c r="E241" s="56" t="n"/>
      <x:c r="F241" s="56" t="n"/>
      <x:c r="G241" s="56" t="n"/>
      <x:c r="H241" s="56" t="n"/>
      <x:c r="I241" s="56" t="n"/>
      <x:c r="J241" s="56" t="n"/>
      <x:c r="K241" s="56" t="n"/>
      <x:c r="L241" s="58" t="str">
        <x:f>IF(B241="","",173.33)</x:f>
      </x:c>
      <x:c r="M241" s="58" t="str">
        <x:f>IF(OR(D241="",L241=""),"",D241/L241)</x:f>
      </x:c>
      <x:c r="N241" s="76" t="n"/>
      <x:c r="O241" s="76" t="str">
        <x:f>IF(OR(M241="",N241=""),"",M241*N241)</x:f>
      </x:c>
      <x:c r="P241" s="76" t="str">
        <x:f>IF(B241="","",6732)</x:f>
      </x:c>
      <x:c r="Q241" s="76" t="str">
        <x:f>IF(OR(D241="",P241=""),"",D241*P241)</x:f>
      </x:c>
      <x:c r="R241" s="56" t="n"/>
      <x:c r="S241" s="56" t="n"/>
      <x:c r="T241" s="74" t="n"/>
      <x:c r="U241" s="56" t="n"/>
    </x:row>
    <x:row r="242">
      <x:c r="A242" s="61" t="str">
        <x:f>IF(B242="","","TL-"&amp;TEXT(ROW()-4,"0000"))</x:f>
      </x:c>
      <x:c r="B242" s="79" t="n"/>
      <x:c r="C242" s="61" t="n"/>
      <x:c r="D242" s="63" t="n"/>
      <x:c r="E242" s="61" t="n"/>
      <x:c r="F242" s="61" t="n"/>
      <x:c r="G242" s="61" t="n"/>
      <x:c r="H242" s="61" t="n"/>
      <x:c r="I242" s="61" t="n"/>
      <x:c r="J242" s="61" t="n"/>
      <x:c r="K242" s="61" t="n"/>
      <x:c r="L242" s="63" t="str">
        <x:f>IF(B242="","",173.33)</x:f>
      </x:c>
      <x:c r="M242" s="63" t="str">
        <x:f>IF(OR(D242="",L242=""),"",D242/L242)</x:f>
      </x:c>
      <x:c r="N242" s="82" t="n"/>
      <x:c r="O242" s="82" t="str">
        <x:f>IF(OR(M242="",N242=""),"",M242*N242)</x:f>
      </x:c>
      <x:c r="P242" s="82" t="str">
        <x:f>IF(B242="","",6732)</x:f>
      </x:c>
      <x:c r="Q242" s="82" t="str">
        <x:f>IF(OR(D242="",P242=""),"",D242*P242)</x:f>
      </x:c>
      <x:c r="R242" s="61" t="n"/>
      <x:c r="S242" s="61" t="n"/>
      <x:c r="T242" s="79" t="n"/>
      <x:c r="U242" s="61" t="n"/>
    </x:row>
    <x:row r="243">
      <x:c r="A243" s="56" t="str">
        <x:f>IF(B243="","","TL-"&amp;TEXT(ROW()-4,"0000"))</x:f>
      </x:c>
      <x:c r="B243" s="74" t="n"/>
      <x:c r="C243" s="56" t="n"/>
      <x:c r="D243" s="58" t="n"/>
      <x:c r="E243" s="56" t="n"/>
      <x:c r="F243" s="56" t="n"/>
      <x:c r="G243" s="56" t="n"/>
      <x:c r="H243" s="56" t="n"/>
      <x:c r="I243" s="56" t="n"/>
      <x:c r="J243" s="56" t="n"/>
      <x:c r="K243" s="56" t="n"/>
      <x:c r="L243" s="58" t="str">
        <x:f>IF(B243="","",173.33)</x:f>
      </x:c>
      <x:c r="M243" s="58" t="str">
        <x:f>IF(OR(D243="",L243=""),"",D243/L243)</x:f>
      </x:c>
      <x:c r="N243" s="76" t="n"/>
      <x:c r="O243" s="76" t="str">
        <x:f>IF(OR(M243="",N243=""),"",M243*N243)</x:f>
      </x:c>
      <x:c r="P243" s="76" t="str">
        <x:f>IF(B243="","",6732)</x:f>
      </x:c>
      <x:c r="Q243" s="76" t="str">
        <x:f>IF(OR(D243="",P243=""),"",D243*P243)</x:f>
      </x:c>
      <x:c r="R243" s="56" t="n"/>
      <x:c r="S243" s="56" t="n"/>
      <x:c r="T243" s="74" t="n"/>
      <x:c r="U243" s="56" t="n"/>
    </x:row>
    <x:row r="244">
      <x:c r="A244" s="61" t="str">
        <x:f>IF(B244="","","TL-"&amp;TEXT(ROW()-4,"0000"))</x:f>
      </x:c>
      <x:c r="B244" s="79" t="n"/>
      <x:c r="C244" s="61" t="n"/>
      <x:c r="D244" s="63" t="n"/>
      <x:c r="E244" s="61" t="n"/>
      <x:c r="F244" s="61" t="n"/>
      <x:c r="G244" s="61" t="n"/>
      <x:c r="H244" s="61" t="n"/>
      <x:c r="I244" s="61" t="n"/>
      <x:c r="J244" s="61" t="n"/>
      <x:c r="K244" s="61" t="n"/>
      <x:c r="L244" s="63" t="str">
        <x:f>IF(B244="","",173.33)</x:f>
      </x:c>
      <x:c r="M244" s="63" t="str">
        <x:f>IF(OR(D244="",L244=""),"",D244/L244)</x:f>
      </x:c>
      <x:c r="N244" s="82" t="n"/>
      <x:c r="O244" s="82" t="str">
        <x:f>IF(OR(M244="",N244=""),"",M244*N244)</x:f>
      </x:c>
      <x:c r="P244" s="82" t="str">
        <x:f>IF(B244="","",6732)</x:f>
      </x:c>
      <x:c r="Q244" s="82" t="str">
        <x:f>IF(OR(D244="",P244=""),"",D244*P244)</x:f>
      </x:c>
      <x:c r="R244" s="61" t="n"/>
      <x:c r="S244" s="61" t="n"/>
      <x:c r="T244" s="79" t="n"/>
      <x:c r="U244" s="61" t="n"/>
    </x:row>
    <x:row r="245">
      <x:c r="A245" s="56" t="str">
        <x:f>IF(B245="","","TL-"&amp;TEXT(ROW()-4,"0000"))</x:f>
      </x:c>
      <x:c r="B245" s="74" t="n"/>
      <x:c r="C245" s="56" t="n"/>
      <x:c r="D245" s="58" t="n"/>
      <x:c r="E245" s="56" t="n"/>
      <x:c r="F245" s="56" t="n"/>
      <x:c r="G245" s="56" t="n"/>
      <x:c r="H245" s="56" t="n"/>
      <x:c r="I245" s="56" t="n"/>
      <x:c r="J245" s="56" t="n"/>
      <x:c r="K245" s="56" t="n"/>
      <x:c r="L245" s="58" t="str">
        <x:f>IF(B245="","",173.33)</x:f>
      </x:c>
      <x:c r="M245" s="58" t="str">
        <x:f>IF(OR(D245="",L245=""),"",D245/L245)</x:f>
      </x:c>
      <x:c r="N245" s="76" t="n"/>
      <x:c r="O245" s="76" t="str">
        <x:f>IF(OR(M245="",N245=""),"",M245*N245)</x:f>
      </x:c>
      <x:c r="P245" s="76" t="str">
        <x:f>IF(B245="","",6732)</x:f>
      </x:c>
      <x:c r="Q245" s="76" t="str">
        <x:f>IF(OR(D245="",P245=""),"",D245*P245)</x:f>
      </x:c>
      <x:c r="R245" s="56" t="n"/>
      <x:c r="S245" s="56" t="n"/>
      <x:c r="T245" s="74" t="n"/>
      <x:c r="U245" s="56" t="n"/>
    </x:row>
    <x:row r="246">
      <x:c r="A246" s="61" t="str">
        <x:f>IF(B246="","","TL-"&amp;TEXT(ROW()-4,"0000"))</x:f>
      </x:c>
      <x:c r="B246" s="79" t="n"/>
      <x:c r="C246" s="61" t="n"/>
      <x:c r="D246" s="63" t="n"/>
      <x:c r="E246" s="61" t="n"/>
      <x:c r="F246" s="61" t="n"/>
      <x:c r="G246" s="61" t="n"/>
      <x:c r="H246" s="61" t="n"/>
      <x:c r="I246" s="61" t="n"/>
      <x:c r="J246" s="61" t="n"/>
      <x:c r="K246" s="61" t="n"/>
      <x:c r="L246" s="63" t="str">
        <x:f>IF(B246="","",173.33)</x:f>
      </x:c>
      <x:c r="M246" s="63" t="str">
        <x:f>IF(OR(D246="",L246=""),"",D246/L246)</x:f>
      </x:c>
      <x:c r="N246" s="82" t="n"/>
      <x:c r="O246" s="82" t="str">
        <x:f>IF(OR(M246="",N246=""),"",M246*N246)</x:f>
      </x:c>
      <x:c r="P246" s="82" t="str">
        <x:f>IF(B246="","",6732)</x:f>
      </x:c>
      <x:c r="Q246" s="82" t="str">
        <x:f>IF(OR(D246="",P246=""),"",D246*P246)</x:f>
      </x:c>
      <x:c r="R246" s="61" t="n"/>
      <x:c r="S246" s="61" t="n"/>
      <x:c r="T246" s="79" t="n"/>
      <x:c r="U246" s="61" t="n"/>
    </x:row>
    <x:row r="247">
      <x:c r="A247" s="56" t="str">
        <x:f>IF(B247="","","TL-"&amp;TEXT(ROW()-4,"0000"))</x:f>
      </x:c>
      <x:c r="B247" s="74" t="n"/>
      <x:c r="C247" s="56" t="n"/>
      <x:c r="D247" s="58" t="n"/>
      <x:c r="E247" s="56" t="n"/>
      <x:c r="F247" s="56" t="n"/>
      <x:c r="G247" s="56" t="n"/>
      <x:c r="H247" s="56" t="n"/>
      <x:c r="I247" s="56" t="n"/>
      <x:c r="J247" s="56" t="n"/>
      <x:c r="K247" s="56" t="n"/>
      <x:c r="L247" s="58" t="str">
        <x:f>IF(B247="","",173.33)</x:f>
      </x:c>
      <x:c r="M247" s="58" t="str">
        <x:f>IF(OR(D247="",L247=""),"",D247/L247)</x:f>
      </x:c>
      <x:c r="N247" s="76" t="n"/>
      <x:c r="O247" s="76" t="str">
        <x:f>IF(OR(M247="",N247=""),"",M247*N247)</x:f>
      </x:c>
      <x:c r="P247" s="76" t="str">
        <x:f>IF(B247="","",6732)</x:f>
      </x:c>
      <x:c r="Q247" s="76" t="str">
        <x:f>IF(OR(D247="",P247=""),"",D247*P247)</x:f>
      </x:c>
      <x:c r="R247" s="56" t="n"/>
      <x:c r="S247" s="56" t="n"/>
      <x:c r="T247" s="74" t="n"/>
      <x:c r="U247" s="56" t="n"/>
    </x:row>
    <x:row r="248">
      <x:c r="A248" s="61" t="str">
        <x:f>IF(B248="","","TL-"&amp;TEXT(ROW()-4,"0000"))</x:f>
      </x:c>
      <x:c r="B248" s="79" t="n"/>
      <x:c r="C248" s="61" t="n"/>
      <x:c r="D248" s="63" t="n"/>
      <x:c r="E248" s="61" t="n"/>
      <x:c r="F248" s="61" t="n"/>
      <x:c r="G248" s="61" t="n"/>
      <x:c r="H248" s="61" t="n"/>
      <x:c r="I248" s="61" t="n"/>
      <x:c r="J248" s="61" t="n"/>
      <x:c r="K248" s="61" t="n"/>
      <x:c r="L248" s="63" t="str">
        <x:f>IF(B248="","",173.33)</x:f>
      </x:c>
      <x:c r="M248" s="63" t="str">
        <x:f>IF(OR(D248="",L248=""),"",D248/L248)</x:f>
      </x:c>
      <x:c r="N248" s="82" t="n"/>
      <x:c r="O248" s="82" t="str">
        <x:f>IF(OR(M248="",N248=""),"",M248*N248)</x:f>
      </x:c>
      <x:c r="P248" s="82" t="str">
        <x:f>IF(B248="","",6732)</x:f>
      </x:c>
      <x:c r="Q248" s="82" t="str">
        <x:f>IF(OR(D248="",P248=""),"",D248*P248)</x:f>
      </x:c>
      <x:c r="R248" s="61" t="n"/>
      <x:c r="S248" s="61" t="n"/>
      <x:c r="T248" s="79" t="n"/>
      <x:c r="U248" s="61" t="n"/>
    </x:row>
    <x:row r="249">
      <x:c r="A249" s="56" t="str">
        <x:f>IF(B249="","","TL-"&amp;TEXT(ROW()-4,"0000"))</x:f>
      </x:c>
      <x:c r="B249" s="74" t="n"/>
      <x:c r="C249" s="56" t="n"/>
      <x:c r="D249" s="58" t="n"/>
      <x:c r="E249" s="56" t="n"/>
      <x:c r="F249" s="56" t="n"/>
      <x:c r="G249" s="56" t="n"/>
      <x:c r="H249" s="56" t="n"/>
      <x:c r="I249" s="56" t="n"/>
      <x:c r="J249" s="56" t="n"/>
      <x:c r="K249" s="56" t="n"/>
      <x:c r="L249" s="58" t="str">
        <x:f>IF(B249="","",173.33)</x:f>
      </x:c>
      <x:c r="M249" s="58" t="str">
        <x:f>IF(OR(D249="",L249=""),"",D249/L249)</x:f>
      </x:c>
      <x:c r="N249" s="76" t="n"/>
      <x:c r="O249" s="76" t="str">
        <x:f>IF(OR(M249="",N249=""),"",M249*N249)</x:f>
      </x:c>
      <x:c r="P249" s="76" t="str">
        <x:f>IF(B249="","",6732)</x:f>
      </x:c>
      <x:c r="Q249" s="76" t="str">
        <x:f>IF(OR(D249="",P249=""),"",D249*P249)</x:f>
      </x:c>
      <x:c r="R249" s="56" t="n"/>
      <x:c r="S249" s="56" t="n"/>
      <x:c r="T249" s="74" t="n"/>
      <x:c r="U249" s="56" t="n"/>
    </x:row>
    <x:row r="250">
      <x:c r="A250" s="61" t="str">
        <x:f>IF(B250="","","TL-"&amp;TEXT(ROW()-4,"0000"))</x:f>
      </x:c>
      <x:c r="B250" s="79" t="n"/>
      <x:c r="C250" s="61" t="n"/>
      <x:c r="D250" s="63" t="n"/>
      <x:c r="E250" s="61" t="n"/>
      <x:c r="F250" s="61" t="n"/>
      <x:c r="G250" s="61" t="n"/>
      <x:c r="H250" s="61" t="n"/>
      <x:c r="I250" s="61" t="n"/>
      <x:c r="J250" s="61" t="n"/>
      <x:c r="K250" s="61" t="n"/>
      <x:c r="L250" s="63" t="str">
        <x:f>IF(B250="","",173.33)</x:f>
      </x:c>
      <x:c r="M250" s="63" t="str">
        <x:f>IF(OR(D250="",L250=""),"",D250/L250)</x:f>
      </x:c>
      <x:c r="N250" s="82" t="n"/>
      <x:c r="O250" s="82" t="str">
        <x:f>IF(OR(M250="",N250=""),"",M250*N250)</x:f>
      </x:c>
      <x:c r="P250" s="82" t="str">
        <x:f>IF(B250="","",6732)</x:f>
      </x:c>
      <x:c r="Q250" s="82" t="str">
        <x:f>IF(OR(D250="",P250=""),"",D250*P250)</x:f>
      </x:c>
      <x:c r="R250" s="61" t="n"/>
      <x:c r="S250" s="61" t="n"/>
      <x:c r="T250" s="79" t="n"/>
      <x:c r="U250" s="61" t="n"/>
    </x:row>
    <x:row r="251">
      <x:c r="A251" s="56" t="str">
        <x:f>IF(B251="","","TL-"&amp;TEXT(ROW()-4,"0000"))</x:f>
      </x:c>
      <x:c r="B251" s="74" t="n"/>
      <x:c r="C251" s="56" t="n"/>
      <x:c r="D251" s="58" t="n"/>
      <x:c r="E251" s="56" t="n"/>
      <x:c r="F251" s="56" t="n"/>
      <x:c r="G251" s="56" t="n"/>
      <x:c r="H251" s="56" t="n"/>
      <x:c r="I251" s="56" t="n"/>
      <x:c r="J251" s="56" t="n"/>
      <x:c r="K251" s="56" t="n"/>
      <x:c r="L251" s="58" t="str">
        <x:f>IF(B251="","",173.33)</x:f>
      </x:c>
      <x:c r="M251" s="58" t="str">
        <x:f>IF(OR(D251="",L251=""),"",D251/L251)</x:f>
      </x:c>
      <x:c r="N251" s="76" t="n"/>
      <x:c r="O251" s="76" t="str">
        <x:f>IF(OR(M251="",N251=""),"",M251*N251)</x:f>
      </x:c>
      <x:c r="P251" s="76" t="str">
        <x:f>IF(B251="","",6732)</x:f>
      </x:c>
      <x:c r="Q251" s="76" t="str">
        <x:f>IF(OR(D251="",P251=""),"",D251*P251)</x:f>
      </x:c>
      <x:c r="R251" s="56" t="n"/>
      <x:c r="S251" s="56" t="n"/>
      <x:c r="T251" s="74" t="n"/>
      <x:c r="U251" s="56" t="n"/>
    </x:row>
    <x:row r="252">
      <x:c r="A252" s="61" t="str">
        <x:f>IF(B252="","","TL-"&amp;TEXT(ROW()-4,"0000"))</x:f>
      </x:c>
      <x:c r="B252" s="79" t="n"/>
      <x:c r="C252" s="61" t="n"/>
      <x:c r="D252" s="63" t="n"/>
      <x:c r="E252" s="61" t="n"/>
      <x:c r="F252" s="61" t="n"/>
      <x:c r="G252" s="61" t="n"/>
      <x:c r="H252" s="61" t="n"/>
      <x:c r="I252" s="61" t="n"/>
      <x:c r="J252" s="61" t="n"/>
      <x:c r="K252" s="61" t="n"/>
      <x:c r="L252" s="63" t="str">
        <x:f>IF(B252="","",173.33)</x:f>
      </x:c>
      <x:c r="M252" s="63" t="str">
        <x:f>IF(OR(D252="",L252=""),"",D252/L252)</x:f>
      </x:c>
      <x:c r="N252" s="82" t="n"/>
      <x:c r="O252" s="82" t="str">
        <x:f>IF(OR(M252="",N252=""),"",M252*N252)</x:f>
      </x:c>
      <x:c r="P252" s="82" t="str">
        <x:f>IF(B252="","",6732)</x:f>
      </x:c>
      <x:c r="Q252" s="82" t="str">
        <x:f>IF(OR(D252="",P252=""),"",D252*P252)</x:f>
      </x:c>
      <x:c r="R252" s="61" t="n"/>
      <x:c r="S252" s="61" t="n"/>
      <x:c r="T252" s="79" t="n"/>
      <x:c r="U252" s="61" t="n"/>
    </x:row>
    <x:row r="253">
      <x:c r="A253" s="56" t="str">
        <x:f>IF(B253="","","TL-"&amp;TEXT(ROW()-4,"0000"))</x:f>
      </x:c>
      <x:c r="B253" s="74" t="n"/>
      <x:c r="C253" s="56" t="n"/>
      <x:c r="D253" s="58" t="n"/>
      <x:c r="E253" s="56" t="n"/>
      <x:c r="F253" s="56" t="n"/>
      <x:c r="G253" s="56" t="n"/>
      <x:c r="H253" s="56" t="n"/>
      <x:c r="I253" s="56" t="n"/>
      <x:c r="J253" s="56" t="n"/>
      <x:c r="K253" s="56" t="n"/>
      <x:c r="L253" s="58" t="str">
        <x:f>IF(B253="","",173.33)</x:f>
      </x:c>
      <x:c r="M253" s="58" t="str">
        <x:f>IF(OR(D253="",L253=""),"",D253/L253)</x:f>
      </x:c>
      <x:c r="N253" s="76" t="n"/>
      <x:c r="O253" s="76" t="str">
        <x:f>IF(OR(M253="",N253=""),"",M253*N253)</x:f>
      </x:c>
      <x:c r="P253" s="76" t="str">
        <x:f>IF(B253="","",6732)</x:f>
      </x:c>
      <x:c r="Q253" s="76" t="str">
        <x:f>IF(OR(D253="",P253=""),"",D253*P253)</x:f>
      </x:c>
      <x:c r="R253" s="56" t="n"/>
      <x:c r="S253" s="56" t="n"/>
      <x:c r="T253" s="74" t="n"/>
      <x:c r="U253" s="56" t="n"/>
    </x:row>
    <x:row r="254">
      <x:c r="A254" s="61" t="str">
        <x:f>IF(B254="","","TL-"&amp;TEXT(ROW()-4,"0000"))</x:f>
      </x:c>
      <x:c r="B254" s="79" t="n"/>
      <x:c r="C254" s="61" t="n"/>
      <x:c r="D254" s="63" t="n"/>
      <x:c r="E254" s="61" t="n"/>
      <x:c r="F254" s="61" t="n"/>
      <x:c r="G254" s="61" t="n"/>
      <x:c r="H254" s="61" t="n"/>
      <x:c r="I254" s="61" t="n"/>
      <x:c r="J254" s="61" t="n"/>
      <x:c r="K254" s="61" t="n"/>
      <x:c r="L254" s="63" t="str">
        <x:f>IF(B254="","",173.33)</x:f>
      </x:c>
      <x:c r="M254" s="63" t="str">
        <x:f>IF(OR(D254="",L254=""),"",D254/L254)</x:f>
      </x:c>
      <x:c r="N254" s="82" t="n"/>
      <x:c r="O254" s="82" t="str">
        <x:f>IF(OR(M254="",N254=""),"",M254*N254)</x:f>
      </x:c>
      <x:c r="P254" s="82" t="str">
        <x:f>IF(B254="","",6732)</x:f>
      </x:c>
      <x:c r="Q254" s="82" t="str">
        <x:f>IF(OR(D254="",P254=""),"",D254*P254)</x:f>
      </x:c>
      <x:c r="R254" s="61" t="n"/>
      <x:c r="S254" s="61" t="n"/>
      <x:c r="T254" s="79" t="n"/>
      <x:c r="U254" s="61" t="n"/>
    </x:row>
    <x:row r="255">
      <x:c r="A255" s="56" t="str">
        <x:f>IF(B255="","","TL-"&amp;TEXT(ROW()-4,"0000"))</x:f>
      </x:c>
      <x:c r="B255" s="74" t="n"/>
      <x:c r="C255" s="56" t="n"/>
      <x:c r="D255" s="58" t="n"/>
      <x:c r="E255" s="56" t="n"/>
      <x:c r="F255" s="56" t="n"/>
      <x:c r="G255" s="56" t="n"/>
      <x:c r="H255" s="56" t="n"/>
      <x:c r="I255" s="56" t="n"/>
      <x:c r="J255" s="56" t="n"/>
      <x:c r="K255" s="56" t="n"/>
      <x:c r="L255" s="58" t="str">
        <x:f>IF(B255="","",173.33)</x:f>
      </x:c>
      <x:c r="M255" s="58" t="str">
        <x:f>IF(OR(D255="",L255=""),"",D255/L255)</x:f>
      </x:c>
      <x:c r="N255" s="76" t="n"/>
      <x:c r="O255" s="76" t="str">
        <x:f>IF(OR(M255="",N255=""),"",M255*N255)</x:f>
      </x:c>
      <x:c r="P255" s="76" t="str">
        <x:f>IF(B255="","",6732)</x:f>
      </x:c>
      <x:c r="Q255" s="76" t="str">
        <x:f>IF(OR(D255="",P255=""),"",D255*P255)</x:f>
      </x:c>
      <x:c r="R255" s="56" t="n"/>
      <x:c r="S255" s="56" t="n"/>
      <x:c r="T255" s="74" t="n"/>
      <x:c r="U255" s="56" t="n"/>
    </x:row>
    <x:row r="256">
      <x:c r="A256" s="61" t="str">
        <x:f>IF(B256="","","TL-"&amp;TEXT(ROW()-4,"0000"))</x:f>
      </x:c>
      <x:c r="B256" s="79" t="n"/>
      <x:c r="C256" s="61" t="n"/>
      <x:c r="D256" s="63" t="n"/>
      <x:c r="E256" s="61" t="n"/>
      <x:c r="F256" s="61" t="n"/>
      <x:c r="G256" s="61" t="n"/>
      <x:c r="H256" s="61" t="n"/>
      <x:c r="I256" s="61" t="n"/>
      <x:c r="J256" s="61" t="n"/>
      <x:c r="K256" s="61" t="n"/>
      <x:c r="L256" s="63" t="str">
        <x:f>IF(B256="","",173.33)</x:f>
      </x:c>
      <x:c r="M256" s="63" t="str">
        <x:f>IF(OR(D256="",L256=""),"",D256/L256)</x:f>
      </x:c>
      <x:c r="N256" s="82" t="n"/>
      <x:c r="O256" s="82" t="str">
        <x:f>IF(OR(M256="",N256=""),"",M256*N256)</x:f>
      </x:c>
      <x:c r="P256" s="82" t="str">
        <x:f>IF(B256="","",6732)</x:f>
      </x:c>
      <x:c r="Q256" s="82" t="str">
        <x:f>IF(OR(D256="",P256=""),"",D256*P256)</x:f>
      </x:c>
      <x:c r="R256" s="61" t="n"/>
      <x:c r="S256" s="61" t="n"/>
      <x:c r="T256" s="79" t="n"/>
      <x:c r="U256" s="61" t="n"/>
    </x:row>
    <x:row r="257">
      <x:c r="A257" s="56" t="str">
        <x:f>IF(B257="","","TL-"&amp;TEXT(ROW()-4,"0000"))</x:f>
      </x:c>
      <x:c r="B257" s="74" t="n"/>
      <x:c r="C257" s="56" t="n"/>
      <x:c r="D257" s="58" t="n"/>
      <x:c r="E257" s="56" t="n"/>
      <x:c r="F257" s="56" t="n"/>
      <x:c r="G257" s="56" t="n"/>
      <x:c r="H257" s="56" t="n"/>
      <x:c r="I257" s="56" t="n"/>
      <x:c r="J257" s="56" t="n"/>
      <x:c r="K257" s="56" t="n"/>
      <x:c r="L257" s="58" t="str">
        <x:f>IF(B257="","",173.33)</x:f>
      </x:c>
      <x:c r="M257" s="58" t="str">
        <x:f>IF(OR(D257="",L257=""),"",D257/L257)</x:f>
      </x:c>
      <x:c r="N257" s="76" t="n"/>
      <x:c r="O257" s="76" t="str">
        <x:f>IF(OR(M257="",N257=""),"",M257*N257)</x:f>
      </x:c>
      <x:c r="P257" s="76" t="str">
        <x:f>IF(B257="","",6732)</x:f>
      </x:c>
      <x:c r="Q257" s="76" t="str">
        <x:f>IF(OR(D257="",P257=""),"",D257*P257)</x:f>
      </x:c>
      <x:c r="R257" s="56" t="n"/>
      <x:c r="S257" s="56" t="n"/>
      <x:c r="T257" s="74" t="n"/>
      <x:c r="U257" s="56" t="n"/>
    </x:row>
    <x:row r="258">
      <x:c r="A258" s="61" t="str">
        <x:f>IF(B258="","","TL-"&amp;TEXT(ROW()-4,"0000"))</x:f>
      </x:c>
      <x:c r="B258" s="79" t="n"/>
      <x:c r="C258" s="61" t="n"/>
      <x:c r="D258" s="63" t="n"/>
      <x:c r="E258" s="61" t="n"/>
      <x:c r="F258" s="61" t="n"/>
      <x:c r="G258" s="61" t="n"/>
      <x:c r="H258" s="61" t="n"/>
      <x:c r="I258" s="61" t="n"/>
      <x:c r="J258" s="61" t="n"/>
      <x:c r="K258" s="61" t="n"/>
      <x:c r="L258" s="63" t="str">
        <x:f>IF(B258="","",173.33)</x:f>
      </x:c>
      <x:c r="M258" s="63" t="str">
        <x:f>IF(OR(D258="",L258=""),"",D258/L258)</x:f>
      </x:c>
      <x:c r="N258" s="82" t="n"/>
      <x:c r="O258" s="82" t="str">
        <x:f>IF(OR(M258="",N258=""),"",M258*N258)</x:f>
      </x:c>
      <x:c r="P258" s="82" t="str">
        <x:f>IF(B258="","",6732)</x:f>
      </x:c>
      <x:c r="Q258" s="82" t="str">
        <x:f>IF(OR(D258="",P258=""),"",D258*P258)</x:f>
      </x:c>
      <x:c r="R258" s="61" t="n"/>
      <x:c r="S258" s="61" t="n"/>
      <x:c r="T258" s="79" t="n"/>
      <x:c r="U258" s="61" t="n"/>
    </x:row>
    <x:row r="259">
      <x:c r="A259" s="56" t="str">
        <x:f>IF(B259="","","TL-"&amp;TEXT(ROW()-4,"0000"))</x:f>
      </x:c>
      <x:c r="B259" s="74" t="n"/>
      <x:c r="C259" s="56" t="n"/>
      <x:c r="D259" s="58" t="n"/>
      <x:c r="E259" s="56" t="n"/>
      <x:c r="F259" s="56" t="n"/>
      <x:c r="G259" s="56" t="n"/>
      <x:c r="H259" s="56" t="n"/>
      <x:c r="I259" s="56" t="n"/>
      <x:c r="J259" s="56" t="n"/>
      <x:c r="K259" s="56" t="n"/>
      <x:c r="L259" s="58" t="str">
        <x:f>IF(B259="","",173.33)</x:f>
      </x:c>
      <x:c r="M259" s="58" t="str">
        <x:f>IF(OR(D259="",L259=""),"",D259/L259)</x:f>
      </x:c>
      <x:c r="N259" s="76" t="n"/>
      <x:c r="O259" s="76" t="str">
        <x:f>IF(OR(M259="",N259=""),"",M259*N259)</x:f>
      </x:c>
      <x:c r="P259" s="76" t="str">
        <x:f>IF(B259="","",6732)</x:f>
      </x:c>
      <x:c r="Q259" s="76" t="str">
        <x:f>IF(OR(D259="",P259=""),"",D259*P259)</x:f>
      </x:c>
      <x:c r="R259" s="56" t="n"/>
      <x:c r="S259" s="56" t="n"/>
      <x:c r="T259" s="74" t="n"/>
      <x:c r="U259" s="56" t="n"/>
    </x:row>
    <x:row r="260">
      <x:c r="A260" s="61" t="str">
        <x:f>IF(B260="","","TL-"&amp;TEXT(ROW()-4,"0000"))</x:f>
      </x:c>
      <x:c r="B260" s="79" t="n"/>
      <x:c r="C260" s="61" t="n"/>
      <x:c r="D260" s="63" t="n"/>
      <x:c r="E260" s="61" t="n"/>
      <x:c r="F260" s="61" t="n"/>
      <x:c r="G260" s="61" t="n"/>
      <x:c r="H260" s="61" t="n"/>
      <x:c r="I260" s="61" t="n"/>
      <x:c r="J260" s="61" t="n"/>
      <x:c r="K260" s="61" t="n"/>
      <x:c r="L260" s="63" t="str">
        <x:f>IF(B260="","",173.33)</x:f>
      </x:c>
      <x:c r="M260" s="63" t="str">
        <x:f>IF(OR(D260="",L260=""),"",D260/L260)</x:f>
      </x:c>
      <x:c r="N260" s="82" t="n"/>
      <x:c r="O260" s="82" t="str">
        <x:f>IF(OR(M260="",N260=""),"",M260*N260)</x:f>
      </x:c>
      <x:c r="P260" s="82" t="str">
        <x:f>IF(B260="","",6732)</x:f>
      </x:c>
      <x:c r="Q260" s="82" t="str">
        <x:f>IF(OR(D260="",P260=""),"",D260*P260)</x:f>
      </x:c>
      <x:c r="R260" s="61" t="n"/>
      <x:c r="S260" s="61" t="n"/>
      <x:c r="T260" s="79" t="n"/>
      <x:c r="U260" s="61" t="n"/>
    </x:row>
    <x:row r="261">
      <x:c r="A261" s="56" t="str">
        <x:f>IF(B261="","","TL-"&amp;TEXT(ROW()-4,"0000"))</x:f>
      </x:c>
      <x:c r="B261" s="74" t="n"/>
      <x:c r="C261" s="56" t="n"/>
      <x:c r="D261" s="58" t="n"/>
      <x:c r="E261" s="56" t="n"/>
      <x:c r="F261" s="56" t="n"/>
      <x:c r="G261" s="56" t="n"/>
      <x:c r="H261" s="56" t="n"/>
      <x:c r="I261" s="56" t="n"/>
      <x:c r="J261" s="56" t="n"/>
      <x:c r="K261" s="56" t="n"/>
      <x:c r="L261" s="58" t="str">
        <x:f>IF(B261="","",173.33)</x:f>
      </x:c>
      <x:c r="M261" s="58" t="str">
        <x:f>IF(OR(D261="",L261=""),"",D261/L261)</x:f>
      </x:c>
      <x:c r="N261" s="76" t="n"/>
      <x:c r="O261" s="76" t="str">
        <x:f>IF(OR(M261="",N261=""),"",M261*N261)</x:f>
      </x:c>
      <x:c r="P261" s="76" t="str">
        <x:f>IF(B261="","",6732)</x:f>
      </x:c>
      <x:c r="Q261" s="76" t="str">
        <x:f>IF(OR(D261="",P261=""),"",D261*P261)</x:f>
      </x:c>
      <x:c r="R261" s="56" t="n"/>
      <x:c r="S261" s="56" t="n"/>
      <x:c r="T261" s="74" t="n"/>
      <x:c r="U261" s="56" t="n"/>
    </x:row>
    <x:row r="262">
      <x:c r="A262" s="61" t="str">
        <x:f>IF(B262="","","TL-"&amp;TEXT(ROW()-4,"0000"))</x:f>
      </x:c>
      <x:c r="B262" s="79" t="n"/>
      <x:c r="C262" s="61" t="n"/>
      <x:c r="D262" s="63" t="n"/>
      <x:c r="E262" s="61" t="n"/>
      <x:c r="F262" s="61" t="n"/>
      <x:c r="G262" s="61" t="n"/>
      <x:c r="H262" s="61" t="n"/>
      <x:c r="I262" s="61" t="n"/>
      <x:c r="J262" s="61" t="n"/>
      <x:c r="K262" s="61" t="n"/>
      <x:c r="L262" s="63" t="str">
        <x:f>IF(B262="","",173.33)</x:f>
      </x:c>
      <x:c r="M262" s="63" t="str">
        <x:f>IF(OR(D262="",L262=""),"",D262/L262)</x:f>
      </x:c>
      <x:c r="N262" s="82" t="n"/>
      <x:c r="O262" s="82" t="str">
        <x:f>IF(OR(M262="",N262=""),"",M262*N262)</x:f>
      </x:c>
      <x:c r="P262" s="82" t="str">
        <x:f>IF(B262="","",6732)</x:f>
      </x:c>
      <x:c r="Q262" s="82" t="str">
        <x:f>IF(OR(D262="",P262=""),"",D262*P262)</x:f>
      </x:c>
      <x:c r="R262" s="61" t="n"/>
      <x:c r="S262" s="61" t="n"/>
      <x:c r="T262" s="79" t="n"/>
      <x:c r="U262" s="61" t="n"/>
    </x:row>
    <x:row r="263">
      <x:c r="A263" s="56" t="str">
        <x:f>IF(B263="","","TL-"&amp;TEXT(ROW()-4,"0000"))</x:f>
      </x:c>
      <x:c r="B263" s="74" t="n"/>
      <x:c r="C263" s="56" t="n"/>
      <x:c r="D263" s="58" t="n"/>
      <x:c r="E263" s="56" t="n"/>
      <x:c r="F263" s="56" t="n"/>
      <x:c r="G263" s="56" t="n"/>
      <x:c r="H263" s="56" t="n"/>
      <x:c r="I263" s="56" t="n"/>
      <x:c r="J263" s="56" t="n"/>
      <x:c r="K263" s="56" t="n"/>
      <x:c r="L263" s="58" t="str">
        <x:f>IF(B263="","",173.33)</x:f>
      </x:c>
      <x:c r="M263" s="58" t="str">
        <x:f>IF(OR(D263="",L263=""),"",D263/L263)</x:f>
      </x:c>
      <x:c r="N263" s="76" t="n"/>
      <x:c r="O263" s="76" t="str">
        <x:f>IF(OR(M263="",N263=""),"",M263*N263)</x:f>
      </x:c>
      <x:c r="P263" s="76" t="str">
        <x:f>IF(B263="","",6732)</x:f>
      </x:c>
      <x:c r="Q263" s="76" t="str">
        <x:f>IF(OR(D263="",P263=""),"",D263*P263)</x:f>
      </x:c>
      <x:c r="R263" s="56" t="n"/>
      <x:c r="S263" s="56" t="n"/>
      <x:c r="T263" s="74" t="n"/>
      <x:c r="U263" s="56" t="n"/>
    </x:row>
    <x:row r="264">
      <x:c r="A264" s="61" t="str">
        <x:f>IF(B264="","","TL-"&amp;TEXT(ROW()-4,"0000"))</x:f>
      </x:c>
      <x:c r="B264" s="79" t="n"/>
      <x:c r="C264" s="61" t="n"/>
      <x:c r="D264" s="63" t="n"/>
      <x:c r="E264" s="61" t="n"/>
      <x:c r="F264" s="61" t="n"/>
      <x:c r="G264" s="61" t="n"/>
      <x:c r="H264" s="61" t="n"/>
      <x:c r="I264" s="61" t="n"/>
      <x:c r="J264" s="61" t="n"/>
      <x:c r="K264" s="61" t="n"/>
      <x:c r="L264" s="63" t="str">
        <x:f>IF(B264="","",173.33)</x:f>
      </x:c>
      <x:c r="M264" s="63" t="str">
        <x:f>IF(OR(D264="",L264=""),"",D264/L264)</x:f>
      </x:c>
      <x:c r="N264" s="82" t="n"/>
      <x:c r="O264" s="82" t="str">
        <x:f>IF(OR(M264="",N264=""),"",M264*N264)</x:f>
      </x:c>
      <x:c r="P264" s="82" t="str">
        <x:f>IF(B264="","",6732)</x:f>
      </x:c>
      <x:c r="Q264" s="82" t="str">
        <x:f>IF(OR(D264="",P264=""),"",D264*P264)</x:f>
      </x:c>
      <x:c r="R264" s="61" t="n"/>
      <x:c r="S264" s="61" t="n"/>
      <x:c r="T264" s="79" t="n"/>
      <x:c r="U264" s="61" t="n"/>
    </x:row>
    <x:row r="265">
      <x:c r="A265" s="56" t="str">
        <x:f>IF(B265="","","TL-"&amp;TEXT(ROW()-4,"0000"))</x:f>
      </x:c>
      <x:c r="B265" s="74" t="n"/>
      <x:c r="C265" s="56" t="n"/>
      <x:c r="D265" s="58" t="n"/>
      <x:c r="E265" s="56" t="n"/>
      <x:c r="F265" s="56" t="n"/>
      <x:c r="G265" s="56" t="n"/>
      <x:c r="H265" s="56" t="n"/>
      <x:c r="I265" s="56" t="n"/>
      <x:c r="J265" s="56" t="n"/>
      <x:c r="K265" s="56" t="n"/>
      <x:c r="L265" s="58" t="str">
        <x:f>IF(B265="","",173.33)</x:f>
      </x:c>
      <x:c r="M265" s="58" t="str">
        <x:f>IF(OR(D265="",L265=""),"",D265/L265)</x:f>
      </x:c>
      <x:c r="N265" s="76" t="n"/>
      <x:c r="O265" s="76" t="str">
        <x:f>IF(OR(M265="",N265=""),"",M265*N265)</x:f>
      </x:c>
      <x:c r="P265" s="76" t="str">
        <x:f>IF(B265="","",6732)</x:f>
      </x:c>
      <x:c r="Q265" s="76" t="str">
        <x:f>IF(OR(D265="",P265=""),"",D265*P265)</x:f>
      </x:c>
      <x:c r="R265" s="56" t="n"/>
      <x:c r="S265" s="56" t="n"/>
      <x:c r="T265" s="74" t="n"/>
      <x:c r="U265" s="56" t="n"/>
    </x:row>
    <x:row r="266">
      <x:c r="A266" s="61" t="str">
        <x:f>IF(B266="","","TL-"&amp;TEXT(ROW()-4,"0000"))</x:f>
      </x:c>
      <x:c r="B266" s="79" t="n"/>
      <x:c r="C266" s="61" t="n"/>
      <x:c r="D266" s="63" t="n"/>
      <x:c r="E266" s="61" t="n"/>
      <x:c r="F266" s="61" t="n"/>
      <x:c r="G266" s="61" t="n"/>
      <x:c r="H266" s="61" t="n"/>
      <x:c r="I266" s="61" t="n"/>
      <x:c r="J266" s="61" t="n"/>
      <x:c r="K266" s="61" t="n"/>
      <x:c r="L266" s="63" t="str">
        <x:f>IF(B266="","",173.33)</x:f>
      </x:c>
      <x:c r="M266" s="63" t="str">
        <x:f>IF(OR(D266="",L266=""),"",D266/L266)</x:f>
      </x:c>
      <x:c r="N266" s="82" t="n"/>
      <x:c r="O266" s="82" t="str">
        <x:f>IF(OR(M266="",N266=""),"",M266*N266)</x:f>
      </x:c>
      <x:c r="P266" s="82" t="str">
        <x:f>IF(B266="","",6732)</x:f>
      </x:c>
      <x:c r="Q266" s="82" t="str">
        <x:f>IF(OR(D266="",P266=""),"",D266*P266)</x:f>
      </x:c>
      <x:c r="R266" s="61" t="n"/>
      <x:c r="S266" s="61" t="n"/>
      <x:c r="T266" s="79" t="n"/>
      <x:c r="U266" s="61" t="n"/>
    </x:row>
    <x:row r="267">
      <x:c r="A267" s="56" t="str">
        <x:f>IF(B267="","","TL-"&amp;TEXT(ROW()-4,"0000"))</x:f>
      </x:c>
      <x:c r="B267" s="74" t="n"/>
      <x:c r="C267" s="56" t="n"/>
      <x:c r="D267" s="58" t="n"/>
      <x:c r="E267" s="56" t="n"/>
      <x:c r="F267" s="56" t="n"/>
      <x:c r="G267" s="56" t="n"/>
      <x:c r="H267" s="56" t="n"/>
      <x:c r="I267" s="56" t="n"/>
      <x:c r="J267" s="56" t="n"/>
      <x:c r="K267" s="56" t="n"/>
      <x:c r="L267" s="58" t="str">
        <x:f>IF(B267="","",173.33)</x:f>
      </x:c>
      <x:c r="M267" s="58" t="str">
        <x:f>IF(OR(D267="",L267=""),"",D267/L267)</x:f>
      </x:c>
      <x:c r="N267" s="76" t="n"/>
      <x:c r="O267" s="76" t="str">
        <x:f>IF(OR(M267="",N267=""),"",M267*N267)</x:f>
      </x:c>
      <x:c r="P267" s="76" t="str">
        <x:f>IF(B267="","",6732)</x:f>
      </x:c>
      <x:c r="Q267" s="76" t="str">
        <x:f>IF(OR(D267="",P267=""),"",D267*P267)</x:f>
      </x:c>
      <x:c r="R267" s="56" t="n"/>
      <x:c r="S267" s="56" t="n"/>
      <x:c r="T267" s="74" t="n"/>
      <x:c r="U267" s="56" t="n"/>
    </x:row>
    <x:row r="268">
      <x:c r="A268" s="61" t="str">
        <x:f>IF(B268="","","TL-"&amp;TEXT(ROW()-4,"0000"))</x:f>
      </x:c>
      <x:c r="B268" s="79" t="n"/>
      <x:c r="C268" s="61" t="n"/>
      <x:c r="D268" s="63" t="n"/>
      <x:c r="E268" s="61" t="n"/>
      <x:c r="F268" s="61" t="n"/>
      <x:c r="G268" s="61" t="n"/>
      <x:c r="H268" s="61" t="n"/>
      <x:c r="I268" s="61" t="n"/>
      <x:c r="J268" s="61" t="n"/>
      <x:c r="K268" s="61" t="n"/>
      <x:c r="L268" s="63" t="str">
        <x:f>IF(B268="","",173.33)</x:f>
      </x:c>
      <x:c r="M268" s="63" t="str">
        <x:f>IF(OR(D268="",L268=""),"",D268/L268)</x:f>
      </x:c>
      <x:c r="N268" s="82" t="n"/>
      <x:c r="O268" s="82" t="str">
        <x:f>IF(OR(M268="",N268=""),"",M268*N268)</x:f>
      </x:c>
      <x:c r="P268" s="82" t="str">
        <x:f>IF(B268="","",6732)</x:f>
      </x:c>
      <x:c r="Q268" s="82" t="str">
        <x:f>IF(OR(D268="",P268=""),"",D268*P268)</x:f>
      </x:c>
      <x:c r="R268" s="61" t="n"/>
      <x:c r="S268" s="61" t="n"/>
      <x:c r="T268" s="79" t="n"/>
      <x:c r="U268" s="61" t="n"/>
    </x:row>
    <x:row r="269">
      <x:c r="A269" s="56" t="str">
        <x:f>IF(B269="","","TL-"&amp;TEXT(ROW()-4,"0000"))</x:f>
      </x:c>
      <x:c r="B269" s="74" t="n"/>
      <x:c r="C269" s="56" t="n"/>
      <x:c r="D269" s="58" t="n"/>
      <x:c r="E269" s="56" t="n"/>
      <x:c r="F269" s="56" t="n"/>
      <x:c r="G269" s="56" t="n"/>
      <x:c r="H269" s="56" t="n"/>
      <x:c r="I269" s="56" t="n"/>
      <x:c r="J269" s="56" t="n"/>
      <x:c r="K269" s="56" t="n"/>
      <x:c r="L269" s="58" t="str">
        <x:f>IF(B269="","",173.33)</x:f>
      </x:c>
      <x:c r="M269" s="58" t="str">
        <x:f>IF(OR(D269="",L269=""),"",D269/L269)</x:f>
      </x:c>
      <x:c r="N269" s="76" t="n"/>
      <x:c r="O269" s="76" t="str">
        <x:f>IF(OR(M269="",N269=""),"",M269*N269)</x:f>
      </x:c>
      <x:c r="P269" s="76" t="str">
        <x:f>IF(B269="","",6732)</x:f>
      </x:c>
      <x:c r="Q269" s="76" t="str">
        <x:f>IF(OR(D269="",P269=""),"",D269*P269)</x:f>
      </x:c>
      <x:c r="R269" s="56" t="n"/>
      <x:c r="S269" s="56" t="n"/>
      <x:c r="T269" s="74" t="n"/>
      <x:c r="U269" s="56" t="n"/>
    </x:row>
    <x:row r="270">
      <x:c r="A270" s="61" t="str">
        <x:f>IF(B270="","","TL-"&amp;TEXT(ROW()-4,"0000"))</x:f>
      </x:c>
      <x:c r="B270" s="79" t="n"/>
      <x:c r="C270" s="61" t="n"/>
      <x:c r="D270" s="63" t="n"/>
      <x:c r="E270" s="61" t="n"/>
      <x:c r="F270" s="61" t="n"/>
      <x:c r="G270" s="61" t="n"/>
      <x:c r="H270" s="61" t="n"/>
      <x:c r="I270" s="61" t="n"/>
      <x:c r="J270" s="61" t="n"/>
      <x:c r="K270" s="61" t="n"/>
      <x:c r="L270" s="63" t="str">
        <x:f>IF(B270="","",173.33)</x:f>
      </x:c>
      <x:c r="M270" s="63" t="str">
        <x:f>IF(OR(D270="",L270=""),"",D270/L270)</x:f>
      </x:c>
      <x:c r="N270" s="82" t="n"/>
      <x:c r="O270" s="82" t="str">
        <x:f>IF(OR(M270="",N270=""),"",M270*N270)</x:f>
      </x:c>
      <x:c r="P270" s="82" t="str">
        <x:f>IF(B270="","",6732)</x:f>
      </x:c>
      <x:c r="Q270" s="82" t="str">
        <x:f>IF(OR(D270="",P270=""),"",D270*P270)</x:f>
      </x:c>
      <x:c r="R270" s="61" t="n"/>
      <x:c r="S270" s="61" t="n"/>
      <x:c r="T270" s="79" t="n"/>
      <x:c r="U270" s="61" t="n"/>
    </x:row>
    <x:row r="271">
      <x:c r="A271" s="56" t="str">
        <x:f>IF(B271="","","TL-"&amp;TEXT(ROW()-4,"0000"))</x:f>
      </x:c>
      <x:c r="B271" s="74" t="n"/>
      <x:c r="C271" s="56" t="n"/>
      <x:c r="D271" s="58" t="n"/>
      <x:c r="E271" s="56" t="n"/>
      <x:c r="F271" s="56" t="n"/>
      <x:c r="G271" s="56" t="n"/>
      <x:c r="H271" s="56" t="n"/>
      <x:c r="I271" s="56" t="n"/>
      <x:c r="J271" s="56" t="n"/>
      <x:c r="K271" s="56" t="n"/>
      <x:c r="L271" s="58" t="str">
        <x:f>IF(B271="","",173.33)</x:f>
      </x:c>
      <x:c r="M271" s="58" t="str">
        <x:f>IF(OR(D271="",L271=""),"",D271/L271)</x:f>
      </x:c>
      <x:c r="N271" s="76" t="n"/>
      <x:c r="O271" s="76" t="str">
        <x:f>IF(OR(M271="",N271=""),"",M271*N271)</x:f>
      </x:c>
      <x:c r="P271" s="76" t="str">
        <x:f>IF(B271="","",6732)</x:f>
      </x:c>
      <x:c r="Q271" s="76" t="str">
        <x:f>IF(OR(D271="",P271=""),"",D271*P271)</x:f>
      </x:c>
      <x:c r="R271" s="56" t="n"/>
      <x:c r="S271" s="56" t="n"/>
      <x:c r="T271" s="74" t="n"/>
      <x:c r="U271" s="56" t="n"/>
    </x:row>
    <x:row r="272">
      <x:c r="A272" s="61" t="str">
        <x:f>IF(B272="","","TL-"&amp;TEXT(ROW()-4,"0000"))</x:f>
      </x:c>
      <x:c r="B272" s="79" t="n"/>
      <x:c r="C272" s="61" t="n"/>
      <x:c r="D272" s="63" t="n"/>
      <x:c r="E272" s="61" t="n"/>
      <x:c r="F272" s="61" t="n"/>
      <x:c r="G272" s="61" t="n"/>
      <x:c r="H272" s="61" t="n"/>
      <x:c r="I272" s="61" t="n"/>
      <x:c r="J272" s="61" t="n"/>
      <x:c r="K272" s="61" t="n"/>
      <x:c r="L272" s="63" t="str">
        <x:f>IF(B272="","",173.33)</x:f>
      </x:c>
      <x:c r="M272" s="63" t="str">
        <x:f>IF(OR(D272="",L272=""),"",D272/L272)</x:f>
      </x:c>
      <x:c r="N272" s="82" t="n"/>
      <x:c r="O272" s="82" t="str">
        <x:f>IF(OR(M272="",N272=""),"",M272*N272)</x:f>
      </x:c>
      <x:c r="P272" s="82" t="str">
        <x:f>IF(B272="","",6732)</x:f>
      </x:c>
      <x:c r="Q272" s="82" t="str">
        <x:f>IF(OR(D272="",P272=""),"",D272*P272)</x:f>
      </x:c>
      <x:c r="R272" s="61" t="n"/>
      <x:c r="S272" s="61" t="n"/>
      <x:c r="T272" s="79" t="n"/>
      <x:c r="U272" s="61" t="n"/>
    </x:row>
    <x:row r="273">
      <x:c r="A273" s="56" t="str">
        <x:f>IF(B273="","","TL-"&amp;TEXT(ROW()-4,"0000"))</x:f>
      </x:c>
      <x:c r="B273" s="74" t="n"/>
      <x:c r="C273" s="56" t="n"/>
      <x:c r="D273" s="58" t="n"/>
      <x:c r="E273" s="56" t="n"/>
      <x:c r="F273" s="56" t="n"/>
      <x:c r="G273" s="56" t="n"/>
      <x:c r="H273" s="56" t="n"/>
      <x:c r="I273" s="56" t="n"/>
      <x:c r="J273" s="56" t="n"/>
      <x:c r="K273" s="56" t="n"/>
      <x:c r="L273" s="58" t="str">
        <x:f>IF(B273="","",173.33)</x:f>
      </x:c>
      <x:c r="M273" s="58" t="str">
        <x:f>IF(OR(D273="",L273=""),"",D273/L273)</x:f>
      </x:c>
      <x:c r="N273" s="76" t="n"/>
      <x:c r="O273" s="76" t="str">
        <x:f>IF(OR(M273="",N273=""),"",M273*N273)</x:f>
      </x:c>
      <x:c r="P273" s="76" t="str">
        <x:f>IF(B273="","",6732)</x:f>
      </x:c>
      <x:c r="Q273" s="76" t="str">
        <x:f>IF(OR(D273="",P273=""),"",D273*P273)</x:f>
      </x:c>
      <x:c r="R273" s="56" t="n"/>
      <x:c r="S273" s="56" t="n"/>
      <x:c r="T273" s="74" t="n"/>
      <x:c r="U273" s="56" t="n"/>
    </x:row>
    <x:row r="274">
      <x:c r="A274" s="61" t="str">
        <x:f>IF(B274="","","TL-"&amp;TEXT(ROW()-4,"0000"))</x:f>
      </x:c>
      <x:c r="B274" s="79" t="n"/>
      <x:c r="C274" s="61" t="n"/>
      <x:c r="D274" s="63" t="n"/>
      <x:c r="E274" s="61" t="n"/>
      <x:c r="F274" s="61" t="n"/>
      <x:c r="G274" s="61" t="n"/>
      <x:c r="H274" s="61" t="n"/>
      <x:c r="I274" s="61" t="n"/>
      <x:c r="J274" s="61" t="n"/>
      <x:c r="K274" s="61" t="n"/>
      <x:c r="L274" s="63" t="str">
        <x:f>IF(B274="","",173.33)</x:f>
      </x:c>
      <x:c r="M274" s="63" t="str">
        <x:f>IF(OR(D274="",L274=""),"",D274/L274)</x:f>
      </x:c>
      <x:c r="N274" s="82" t="n"/>
      <x:c r="O274" s="82" t="str">
        <x:f>IF(OR(M274="",N274=""),"",M274*N274)</x:f>
      </x:c>
      <x:c r="P274" s="82" t="str">
        <x:f>IF(B274="","",6732)</x:f>
      </x:c>
      <x:c r="Q274" s="82" t="str">
        <x:f>IF(OR(D274="",P274=""),"",D274*P274)</x:f>
      </x:c>
      <x:c r="R274" s="61" t="n"/>
      <x:c r="S274" s="61" t="n"/>
      <x:c r="T274" s="79" t="n"/>
      <x:c r="U274" s="61" t="n"/>
    </x:row>
    <x:row r="275">
      <x:c r="A275" s="56" t="str">
        <x:f>IF(B275="","","TL-"&amp;TEXT(ROW()-4,"0000"))</x:f>
      </x:c>
      <x:c r="B275" s="74" t="n"/>
      <x:c r="C275" s="56" t="n"/>
      <x:c r="D275" s="58" t="n"/>
      <x:c r="E275" s="56" t="n"/>
      <x:c r="F275" s="56" t="n"/>
      <x:c r="G275" s="56" t="n"/>
      <x:c r="H275" s="56" t="n"/>
      <x:c r="I275" s="56" t="n"/>
      <x:c r="J275" s="56" t="n"/>
      <x:c r="K275" s="56" t="n"/>
      <x:c r="L275" s="58" t="str">
        <x:f>IF(B275="","",173.33)</x:f>
      </x:c>
      <x:c r="M275" s="58" t="str">
        <x:f>IF(OR(D275="",L275=""),"",D275/L275)</x:f>
      </x:c>
      <x:c r="N275" s="76" t="n"/>
      <x:c r="O275" s="76" t="str">
        <x:f>IF(OR(M275="",N275=""),"",M275*N275)</x:f>
      </x:c>
      <x:c r="P275" s="76" t="str">
        <x:f>IF(B275="","",6732)</x:f>
      </x:c>
      <x:c r="Q275" s="76" t="str">
        <x:f>IF(OR(D275="",P275=""),"",D275*P275)</x:f>
      </x:c>
      <x:c r="R275" s="56" t="n"/>
      <x:c r="S275" s="56" t="n"/>
      <x:c r="T275" s="74" t="n"/>
      <x:c r="U275" s="56" t="n"/>
    </x:row>
    <x:row r="276">
      <x:c r="A276" s="61" t="str">
        <x:f>IF(B276="","","TL-"&amp;TEXT(ROW()-4,"0000"))</x:f>
      </x:c>
      <x:c r="B276" s="79" t="n"/>
      <x:c r="C276" s="61" t="n"/>
      <x:c r="D276" s="63" t="n"/>
      <x:c r="E276" s="61" t="n"/>
      <x:c r="F276" s="61" t="n"/>
      <x:c r="G276" s="61" t="n"/>
      <x:c r="H276" s="61" t="n"/>
      <x:c r="I276" s="61" t="n"/>
      <x:c r="J276" s="61" t="n"/>
      <x:c r="K276" s="61" t="n"/>
      <x:c r="L276" s="63" t="str">
        <x:f>IF(B276="","",173.33)</x:f>
      </x:c>
      <x:c r="M276" s="63" t="str">
        <x:f>IF(OR(D276="",L276=""),"",D276/L276)</x:f>
      </x:c>
      <x:c r="N276" s="82" t="n"/>
      <x:c r="O276" s="82" t="str">
        <x:f>IF(OR(M276="",N276=""),"",M276*N276)</x:f>
      </x:c>
      <x:c r="P276" s="82" t="str">
        <x:f>IF(B276="","",6732)</x:f>
      </x:c>
      <x:c r="Q276" s="82" t="str">
        <x:f>IF(OR(D276="",P276=""),"",D276*P276)</x:f>
      </x:c>
      <x:c r="R276" s="61" t="n"/>
      <x:c r="S276" s="61" t="n"/>
      <x:c r="T276" s="79" t="n"/>
      <x:c r="U276" s="61" t="n"/>
    </x:row>
    <x:row r="277">
      <x:c r="A277" s="56" t="str">
        <x:f>IF(B277="","","TL-"&amp;TEXT(ROW()-4,"0000"))</x:f>
      </x:c>
      <x:c r="B277" s="74" t="n"/>
      <x:c r="C277" s="56" t="n"/>
      <x:c r="D277" s="58" t="n"/>
      <x:c r="E277" s="56" t="n"/>
      <x:c r="F277" s="56" t="n"/>
      <x:c r="G277" s="56" t="n"/>
      <x:c r="H277" s="56" t="n"/>
      <x:c r="I277" s="56" t="n"/>
      <x:c r="J277" s="56" t="n"/>
      <x:c r="K277" s="56" t="n"/>
      <x:c r="L277" s="58" t="str">
        <x:f>IF(B277="","",173.33)</x:f>
      </x:c>
      <x:c r="M277" s="58" t="str">
        <x:f>IF(OR(D277="",L277=""),"",D277/L277)</x:f>
      </x:c>
      <x:c r="N277" s="76" t="n"/>
      <x:c r="O277" s="76" t="str">
        <x:f>IF(OR(M277="",N277=""),"",M277*N277)</x:f>
      </x:c>
      <x:c r="P277" s="76" t="str">
        <x:f>IF(B277="","",6732)</x:f>
      </x:c>
      <x:c r="Q277" s="76" t="str">
        <x:f>IF(OR(D277="",P277=""),"",D277*P277)</x:f>
      </x:c>
      <x:c r="R277" s="56" t="n"/>
      <x:c r="S277" s="56" t="n"/>
      <x:c r="T277" s="74" t="n"/>
      <x:c r="U277" s="56" t="n"/>
    </x:row>
    <x:row r="278">
      <x:c r="A278" s="61" t="str">
        <x:f>IF(B278="","","TL-"&amp;TEXT(ROW()-4,"0000"))</x:f>
      </x:c>
      <x:c r="B278" s="79" t="n"/>
      <x:c r="C278" s="61" t="n"/>
      <x:c r="D278" s="63" t="n"/>
      <x:c r="E278" s="61" t="n"/>
      <x:c r="F278" s="61" t="n"/>
      <x:c r="G278" s="61" t="n"/>
      <x:c r="H278" s="61" t="n"/>
      <x:c r="I278" s="61" t="n"/>
      <x:c r="J278" s="61" t="n"/>
      <x:c r="K278" s="61" t="n"/>
      <x:c r="L278" s="63" t="str">
        <x:f>IF(B278="","",173.33)</x:f>
      </x:c>
      <x:c r="M278" s="63" t="str">
        <x:f>IF(OR(D278="",L278=""),"",D278/L278)</x:f>
      </x:c>
      <x:c r="N278" s="82" t="n"/>
      <x:c r="O278" s="82" t="str">
        <x:f>IF(OR(M278="",N278=""),"",M278*N278)</x:f>
      </x:c>
      <x:c r="P278" s="82" t="str">
        <x:f>IF(B278="","",6732)</x:f>
      </x:c>
      <x:c r="Q278" s="82" t="str">
        <x:f>IF(OR(D278="",P278=""),"",D278*P278)</x:f>
      </x:c>
      <x:c r="R278" s="61" t="n"/>
      <x:c r="S278" s="61" t="n"/>
      <x:c r="T278" s="79" t="n"/>
      <x:c r="U278" s="61" t="n"/>
    </x:row>
    <x:row r="279">
      <x:c r="A279" s="56" t="str">
        <x:f>IF(B279="","","TL-"&amp;TEXT(ROW()-4,"0000"))</x:f>
      </x:c>
      <x:c r="B279" s="74" t="n"/>
      <x:c r="C279" s="56" t="n"/>
      <x:c r="D279" s="58" t="n"/>
      <x:c r="E279" s="56" t="n"/>
      <x:c r="F279" s="56" t="n"/>
      <x:c r="G279" s="56" t="n"/>
      <x:c r="H279" s="56" t="n"/>
      <x:c r="I279" s="56" t="n"/>
      <x:c r="J279" s="56" t="n"/>
      <x:c r="K279" s="56" t="n"/>
      <x:c r="L279" s="58" t="str">
        <x:f>IF(B279="","",173.33)</x:f>
      </x:c>
      <x:c r="M279" s="58" t="str">
        <x:f>IF(OR(D279="",L279=""),"",D279/L279)</x:f>
      </x:c>
      <x:c r="N279" s="76" t="n"/>
      <x:c r="O279" s="76" t="str">
        <x:f>IF(OR(M279="",N279=""),"",M279*N279)</x:f>
      </x:c>
      <x:c r="P279" s="76" t="str">
        <x:f>IF(B279="","",6732)</x:f>
      </x:c>
      <x:c r="Q279" s="76" t="str">
        <x:f>IF(OR(D279="",P279=""),"",D279*P279)</x:f>
      </x:c>
      <x:c r="R279" s="56" t="n"/>
      <x:c r="S279" s="56" t="n"/>
      <x:c r="T279" s="74" t="n"/>
      <x:c r="U279" s="56" t="n"/>
    </x:row>
    <x:row r="280">
      <x:c r="A280" s="61" t="str">
        <x:f>IF(B280="","","TL-"&amp;TEXT(ROW()-4,"0000"))</x:f>
      </x:c>
      <x:c r="B280" s="79" t="n"/>
      <x:c r="C280" s="61" t="n"/>
      <x:c r="D280" s="63" t="n"/>
      <x:c r="E280" s="61" t="n"/>
      <x:c r="F280" s="61" t="n"/>
      <x:c r="G280" s="61" t="n"/>
      <x:c r="H280" s="61" t="n"/>
      <x:c r="I280" s="61" t="n"/>
      <x:c r="J280" s="61" t="n"/>
      <x:c r="K280" s="61" t="n"/>
      <x:c r="L280" s="63" t="str">
        <x:f>IF(B280="","",173.33)</x:f>
      </x:c>
      <x:c r="M280" s="63" t="str">
        <x:f>IF(OR(D280="",L280=""),"",D280/L280)</x:f>
      </x:c>
      <x:c r="N280" s="82" t="n"/>
      <x:c r="O280" s="82" t="str">
        <x:f>IF(OR(M280="",N280=""),"",M280*N280)</x:f>
      </x:c>
      <x:c r="P280" s="82" t="str">
        <x:f>IF(B280="","",6732)</x:f>
      </x:c>
      <x:c r="Q280" s="82" t="str">
        <x:f>IF(OR(D280="",P280=""),"",D280*P280)</x:f>
      </x:c>
      <x:c r="R280" s="61" t="n"/>
      <x:c r="S280" s="61" t="n"/>
      <x:c r="T280" s="79" t="n"/>
      <x:c r="U280" s="61" t="n"/>
    </x:row>
    <x:row r="281">
      <x:c r="A281" s="56" t="str">
        <x:f>IF(B281="","","TL-"&amp;TEXT(ROW()-4,"0000"))</x:f>
      </x:c>
      <x:c r="B281" s="74" t="n"/>
      <x:c r="C281" s="56" t="n"/>
      <x:c r="D281" s="58" t="n"/>
      <x:c r="E281" s="56" t="n"/>
      <x:c r="F281" s="56" t="n"/>
      <x:c r="G281" s="56" t="n"/>
      <x:c r="H281" s="56" t="n"/>
      <x:c r="I281" s="56" t="n"/>
      <x:c r="J281" s="56" t="n"/>
      <x:c r="K281" s="56" t="n"/>
      <x:c r="L281" s="58" t="str">
        <x:f>IF(B281="","",173.33)</x:f>
      </x:c>
      <x:c r="M281" s="58" t="str">
        <x:f>IF(OR(D281="",L281=""),"",D281/L281)</x:f>
      </x:c>
      <x:c r="N281" s="76" t="n"/>
      <x:c r="O281" s="76" t="str">
        <x:f>IF(OR(M281="",N281=""),"",M281*N281)</x:f>
      </x:c>
      <x:c r="P281" s="76" t="str">
        <x:f>IF(B281="","",6732)</x:f>
      </x:c>
      <x:c r="Q281" s="76" t="str">
        <x:f>IF(OR(D281="",P281=""),"",D281*P281)</x:f>
      </x:c>
      <x:c r="R281" s="56" t="n"/>
      <x:c r="S281" s="56" t="n"/>
      <x:c r="T281" s="74" t="n"/>
      <x:c r="U281" s="56" t="n"/>
    </x:row>
    <x:row r="282">
      <x:c r="A282" s="61" t="str">
        <x:f>IF(B282="","","TL-"&amp;TEXT(ROW()-4,"0000"))</x:f>
      </x:c>
      <x:c r="B282" s="79" t="n"/>
      <x:c r="C282" s="61" t="n"/>
      <x:c r="D282" s="63" t="n"/>
      <x:c r="E282" s="61" t="n"/>
      <x:c r="F282" s="61" t="n"/>
      <x:c r="G282" s="61" t="n"/>
      <x:c r="H282" s="61" t="n"/>
      <x:c r="I282" s="61" t="n"/>
      <x:c r="J282" s="61" t="n"/>
      <x:c r="K282" s="61" t="n"/>
      <x:c r="L282" s="63" t="str">
        <x:f>IF(B282="","",173.33)</x:f>
      </x:c>
      <x:c r="M282" s="63" t="str">
        <x:f>IF(OR(D282="",L282=""),"",D282/L282)</x:f>
      </x:c>
      <x:c r="N282" s="82" t="n"/>
      <x:c r="O282" s="82" t="str">
        <x:f>IF(OR(M282="",N282=""),"",M282*N282)</x:f>
      </x:c>
      <x:c r="P282" s="82" t="str">
        <x:f>IF(B282="","",6732)</x:f>
      </x:c>
      <x:c r="Q282" s="82" t="str">
        <x:f>IF(OR(D282="",P282=""),"",D282*P282)</x:f>
      </x:c>
      <x:c r="R282" s="61" t="n"/>
      <x:c r="S282" s="61" t="n"/>
      <x:c r="T282" s="79" t="n"/>
      <x:c r="U282" s="61" t="n"/>
    </x:row>
    <x:row r="283">
      <x:c r="A283" s="56" t="str">
        <x:f>IF(B283="","","TL-"&amp;TEXT(ROW()-4,"0000"))</x:f>
      </x:c>
      <x:c r="B283" s="74" t="n"/>
      <x:c r="C283" s="56" t="n"/>
      <x:c r="D283" s="58" t="n"/>
      <x:c r="E283" s="56" t="n"/>
      <x:c r="F283" s="56" t="n"/>
      <x:c r="G283" s="56" t="n"/>
      <x:c r="H283" s="56" t="n"/>
      <x:c r="I283" s="56" t="n"/>
      <x:c r="J283" s="56" t="n"/>
      <x:c r="K283" s="56" t="n"/>
      <x:c r="L283" s="58" t="str">
        <x:f>IF(B283="","",173.33)</x:f>
      </x:c>
      <x:c r="M283" s="58" t="str">
        <x:f>IF(OR(D283="",L283=""),"",D283/L283)</x:f>
      </x:c>
      <x:c r="N283" s="76" t="n"/>
      <x:c r="O283" s="76" t="str">
        <x:f>IF(OR(M283="",N283=""),"",M283*N283)</x:f>
      </x:c>
      <x:c r="P283" s="76" t="str">
        <x:f>IF(B283="","",6732)</x:f>
      </x:c>
      <x:c r="Q283" s="76" t="str">
        <x:f>IF(OR(D283="",P283=""),"",D283*P283)</x:f>
      </x:c>
      <x:c r="R283" s="56" t="n"/>
      <x:c r="S283" s="56" t="n"/>
      <x:c r="T283" s="74" t="n"/>
      <x:c r="U283" s="56" t="n"/>
    </x:row>
    <x:row r="284">
      <x:c r="A284" s="61" t="str">
        <x:f>IF(B284="","","TL-"&amp;TEXT(ROW()-4,"0000"))</x:f>
      </x:c>
      <x:c r="B284" s="79" t="n"/>
      <x:c r="C284" s="61" t="n"/>
      <x:c r="D284" s="63" t="n"/>
      <x:c r="E284" s="61" t="n"/>
      <x:c r="F284" s="61" t="n"/>
      <x:c r="G284" s="61" t="n"/>
      <x:c r="H284" s="61" t="n"/>
      <x:c r="I284" s="61" t="n"/>
      <x:c r="J284" s="61" t="n"/>
      <x:c r="K284" s="61" t="n"/>
      <x:c r="L284" s="63" t="str">
        <x:f>IF(B284="","",173.33)</x:f>
      </x:c>
      <x:c r="M284" s="63" t="str">
        <x:f>IF(OR(D284="",L284=""),"",D284/L284)</x:f>
      </x:c>
      <x:c r="N284" s="82" t="n"/>
      <x:c r="O284" s="82" t="str">
        <x:f>IF(OR(M284="",N284=""),"",M284*N284)</x:f>
      </x:c>
      <x:c r="P284" s="82" t="str">
        <x:f>IF(B284="","",6732)</x:f>
      </x:c>
      <x:c r="Q284" s="82" t="str">
        <x:f>IF(OR(D284="",P284=""),"",D284*P284)</x:f>
      </x:c>
      <x:c r="R284" s="61" t="n"/>
      <x:c r="S284" s="61" t="n"/>
      <x:c r="T284" s="79" t="n"/>
      <x:c r="U284" s="61" t="n"/>
    </x:row>
    <x:row r="285">
      <x:c r="A285" s="56" t="str">
        <x:f>IF(B285="","","TL-"&amp;TEXT(ROW()-4,"0000"))</x:f>
      </x:c>
      <x:c r="B285" s="74" t="n"/>
      <x:c r="C285" s="56" t="n"/>
      <x:c r="D285" s="58" t="n"/>
      <x:c r="E285" s="56" t="n"/>
      <x:c r="F285" s="56" t="n"/>
      <x:c r="G285" s="56" t="n"/>
      <x:c r="H285" s="56" t="n"/>
      <x:c r="I285" s="56" t="n"/>
      <x:c r="J285" s="56" t="n"/>
      <x:c r="K285" s="56" t="n"/>
      <x:c r="L285" s="58" t="str">
        <x:f>IF(B285="","",173.33)</x:f>
      </x:c>
      <x:c r="M285" s="58" t="str">
        <x:f>IF(OR(D285="",L285=""),"",D285/L285)</x:f>
      </x:c>
      <x:c r="N285" s="76" t="n"/>
      <x:c r="O285" s="76" t="str">
        <x:f>IF(OR(M285="",N285=""),"",M285*N285)</x:f>
      </x:c>
      <x:c r="P285" s="76" t="str">
        <x:f>IF(B285="","",6732)</x:f>
      </x:c>
      <x:c r="Q285" s="76" t="str">
        <x:f>IF(OR(D285="",P285=""),"",D285*P285)</x:f>
      </x:c>
      <x:c r="R285" s="56" t="n"/>
      <x:c r="S285" s="56" t="n"/>
      <x:c r="T285" s="74" t="n"/>
      <x:c r="U285" s="56" t="n"/>
    </x:row>
    <x:row r="286">
      <x:c r="A286" s="61" t="str">
        <x:f>IF(B286="","","TL-"&amp;TEXT(ROW()-4,"0000"))</x:f>
      </x:c>
      <x:c r="B286" s="79" t="n"/>
      <x:c r="C286" s="61" t="n"/>
      <x:c r="D286" s="63" t="n"/>
      <x:c r="E286" s="61" t="n"/>
      <x:c r="F286" s="61" t="n"/>
      <x:c r="G286" s="61" t="n"/>
      <x:c r="H286" s="61" t="n"/>
      <x:c r="I286" s="61" t="n"/>
      <x:c r="J286" s="61" t="n"/>
      <x:c r="K286" s="61" t="n"/>
      <x:c r="L286" s="63" t="str">
        <x:f>IF(B286="","",173.33)</x:f>
      </x:c>
      <x:c r="M286" s="63" t="str">
        <x:f>IF(OR(D286="",L286=""),"",D286/L286)</x:f>
      </x:c>
      <x:c r="N286" s="82" t="n"/>
      <x:c r="O286" s="82" t="str">
        <x:f>IF(OR(M286="",N286=""),"",M286*N286)</x:f>
      </x:c>
      <x:c r="P286" s="82" t="str">
        <x:f>IF(B286="","",6732)</x:f>
      </x:c>
      <x:c r="Q286" s="82" t="str">
        <x:f>IF(OR(D286="",P286=""),"",D286*P286)</x:f>
      </x:c>
      <x:c r="R286" s="61" t="n"/>
      <x:c r="S286" s="61" t="n"/>
      <x:c r="T286" s="79" t="n"/>
      <x:c r="U286" s="61" t="n"/>
    </x:row>
    <x:row r="287">
      <x:c r="A287" s="56" t="str">
        <x:f>IF(B287="","","TL-"&amp;TEXT(ROW()-4,"0000"))</x:f>
      </x:c>
      <x:c r="B287" s="74" t="n"/>
      <x:c r="C287" s="56" t="n"/>
      <x:c r="D287" s="58" t="n"/>
      <x:c r="E287" s="56" t="n"/>
      <x:c r="F287" s="56" t="n"/>
      <x:c r="G287" s="56" t="n"/>
      <x:c r="H287" s="56" t="n"/>
      <x:c r="I287" s="56" t="n"/>
      <x:c r="J287" s="56" t="n"/>
      <x:c r="K287" s="56" t="n"/>
      <x:c r="L287" s="58" t="str">
        <x:f>IF(B287="","",173.33)</x:f>
      </x:c>
      <x:c r="M287" s="58" t="str">
        <x:f>IF(OR(D287="",L287=""),"",D287/L287)</x:f>
      </x:c>
      <x:c r="N287" s="76" t="n"/>
      <x:c r="O287" s="76" t="str">
        <x:f>IF(OR(M287="",N287=""),"",M287*N287)</x:f>
      </x:c>
      <x:c r="P287" s="76" t="str">
        <x:f>IF(B287="","",6732)</x:f>
      </x:c>
      <x:c r="Q287" s="76" t="str">
        <x:f>IF(OR(D287="",P287=""),"",D287*P287)</x:f>
      </x:c>
      <x:c r="R287" s="56" t="n"/>
      <x:c r="S287" s="56" t="n"/>
      <x:c r="T287" s="74" t="n"/>
      <x:c r="U287" s="56" t="n"/>
    </x:row>
    <x:row r="288">
      <x:c r="A288" s="61" t="str">
        <x:f>IF(B288="","","TL-"&amp;TEXT(ROW()-4,"0000"))</x:f>
      </x:c>
      <x:c r="B288" s="79" t="n"/>
      <x:c r="C288" s="61" t="n"/>
      <x:c r="D288" s="63" t="n"/>
      <x:c r="E288" s="61" t="n"/>
      <x:c r="F288" s="61" t="n"/>
      <x:c r="G288" s="61" t="n"/>
      <x:c r="H288" s="61" t="n"/>
      <x:c r="I288" s="61" t="n"/>
      <x:c r="J288" s="61" t="n"/>
      <x:c r="K288" s="61" t="n"/>
      <x:c r="L288" s="63" t="str">
        <x:f>IF(B288="","",173.33)</x:f>
      </x:c>
      <x:c r="M288" s="63" t="str">
        <x:f>IF(OR(D288="",L288=""),"",D288/L288)</x:f>
      </x:c>
      <x:c r="N288" s="82" t="n"/>
      <x:c r="O288" s="82" t="str">
        <x:f>IF(OR(M288="",N288=""),"",M288*N288)</x:f>
      </x:c>
      <x:c r="P288" s="82" t="str">
        <x:f>IF(B288="","",6732)</x:f>
      </x:c>
      <x:c r="Q288" s="82" t="str">
        <x:f>IF(OR(D288="",P288=""),"",D288*P288)</x:f>
      </x:c>
      <x:c r="R288" s="61" t="n"/>
      <x:c r="S288" s="61" t="n"/>
      <x:c r="T288" s="79" t="n"/>
      <x:c r="U288" s="61" t="n"/>
    </x:row>
    <x:row r="289">
      <x:c r="A289" s="56" t="str">
        <x:f>IF(B289="","","TL-"&amp;TEXT(ROW()-4,"0000"))</x:f>
      </x:c>
      <x:c r="B289" s="74" t="n"/>
      <x:c r="C289" s="56" t="n"/>
      <x:c r="D289" s="58" t="n"/>
      <x:c r="E289" s="56" t="n"/>
      <x:c r="F289" s="56" t="n"/>
      <x:c r="G289" s="56" t="n"/>
      <x:c r="H289" s="56" t="n"/>
      <x:c r="I289" s="56" t="n"/>
      <x:c r="J289" s="56" t="n"/>
      <x:c r="K289" s="56" t="n"/>
      <x:c r="L289" s="58" t="str">
        <x:f>IF(B289="","",173.33)</x:f>
      </x:c>
      <x:c r="M289" s="58" t="str">
        <x:f>IF(OR(D289="",L289=""),"",D289/L289)</x:f>
      </x:c>
      <x:c r="N289" s="76" t="n"/>
      <x:c r="O289" s="76" t="str">
        <x:f>IF(OR(M289="",N289=""),"",M289*N289)</x:f>
      </x:c>
      <x:c r="P289" s="76" t="str">
        <x:f>IF(B289="","",6732)</x:f>
      </x:c>
      <x:c r="Q289" s="76" t="str">
        <x:f>IF(OR(D289="",P289=""),"",D289*P289)</x:f>
      </x:c>
      <x:c r="R289" s="56" t="n"/>
      <x:c r="S289" s="56" t="n"/>
      <x:c r="T289" s="74" t="n"/>
      <x:c r="U289" s="56" t="n"/>
    </x:row>
    <x:row r="290">
      <x:c r="A290" s="61" t="str">
        <x:f>IF(B290="","","TL-"&amp;TEXT(ROW()-4,"0000"))</x:f>
      </x:c>
      <x:c r="B290" s="79" t="n"/>
      <x:c r="C290" s="61" t="n"/>
      <x:c r="D290" s="63" t="n"/>
      <x:c r="E290" s="61" t="n"/>
      <x:c r="F290" s="61" t="n"/>
      <x:c r="G290" s="61" t="n"/>
      <x:c r="H290" s="61" t="n"/>
      <x:c r="I290" s="61" t="n"/>
      <x:c r="J290" s="61" t="n"/>
      <x:c r="K290" s="61" t="n"/>
      <x:c r="L290" s="63" t="str">
        <x:f>IF(B290="","",173.33)</x:f>
      </x:c>
      <x:c r="M290" s="63" t="str">
        <x:f>IF(OR(D290="",L290=""),"",D290/L290)</x:f>
      </x:c>
      <x:c r="N290" s="82" t="n"/>
      <x:c r="O290" s="82" t="str">
        <x:f>IF(OR(M290="",N290=""),"",M290*N290)</x:f>
      </x:c>
      <x:c r="P290" s="82" t="str">
        <x:f>IF(B290="","",6732)</x:f>
      </x:c>
      <x:c r="Q290" s="82" t="str">
        <x:f>IF(OR(D290="",P290=""),"",D290*P290)</x:f>
      </x:c>
      <x:c r="R290" s="61" t="n"/>
      <x:c r="S290" s="61" t="n"/>
      <x:c r="T290" s="79" t="n"/>
      <x:c r="U290" s="61" t="n"/>
    </x:row>
    <x:row r="291">
      <x:c r="A291" s="56" t="str">
        <x:f>IF(B291="","","TL-"&amp;TEXT(ROW()-4,"0000"))</x:f>
      </x:c>
      <x:c r="B291" s="74" t="n"/>
      <x:c r="C291" s="56" t="n"/>
      <x:c r="D291" s="58" t="n"/>
      <x:c r="E291" s="56" t="n"/>
      <x:c r="F291" s="56" t="n"/>
      <x:c r="G291" s="56" t="n"/>
      <x:c r="H291" s="56" t="n"/>
      <x:c r="I291" s="56" t="n"/>
      <x:c r="J291" s="56" t="n"/>
      <x:c r="K291" s="56" t="n"/>
      <x:c r="L291" s="58" t="str">
        <x:f>IF(B291="","",173.33)</x:f>
      </x:c>
      <x:c r="M291" s="58" t="str">
        <x:f>IF(OR(D291="",L291=""),"",D291/L291)</x:f>
      </x:c>
      <x:c r="N291" s="76" t="n"/>
      <x:c r="O291" s="76" t="str">
        <x:f>IF(OR(M291="",N291=""),"",M291*N291)</x:f>
      </x:c>
      <x:c r="P291" s="76" t="str">
        <x:f>IF(B291="","",6732)</x:f>
      </x:c>
      <x:c r="Q291" s="76" t="str">
        <x:f>IF(OR(D291="",P291=""),"",D291*P291)</x:f>
      </x:c>
      <x:c r="R291" s="56" t="n"/>
      <x:c r="S291" s="56" t="n"/>
      <x:c r="T291" s="74" t="n"/>
      <x:c r="U291" s="56" t="n"/>
    </x:row>
    <x:row r="292">
      <x:c r="A292" s="61" t="str">
        <x:f>IF(B292="","","TL-"&amp;TEXT(ROW()-4,"0000"))</x:f>
      </x:c>
      <x:c r="B292" s="79" t="n"/>
      <x:c r="C292" s="61" t="n"/>
      <x:c r="D292" s="63" t="n"/>
      <x:c r="E292" s="61" t="n"/>
      <x:c r="F292" s="61" t="n"/>
      <x:c r="G292" s="61" t="n"/>
      <x:c r="H292" s="61" t="n"/>
      <x:c r="I292" s="61" t="n"/>
      <x:c r="J292" s="61" t="n"/>
      <x:c r="K292" s="61" t="n"/>
      <x:c r="L292" s="63" t="str">
        <x:f>IF(B292="","",173.33)</x:f>
      </x:c>
      <x:c r="M292" s="63" t="str">
        <x:f>IF(OR(D292="",L292=""),"",D292/L292)</x:f>
      </x:c>
      <x:c r="N292" s="82" t="n"/>
      <x:c r="O292" s="82" t="str">
        <x:f>IF(OR(M292="",N292=""),"",M292*N292)</x:f>
      </x:c>
      <x:c r="P292" s="82" t="str">
        <x:f>IF(B292="","",6732)</x:f>
      </x:c>
      <x:c r="Q292" s="82" t="str">
        <x:f>IF(OR(D292="",P292=""),"",D292*P292)</x:f>
      </x:c>
      <x:c r="R292" s="61" t="n"/>
      <x:c r="S292" s="61" t="n"/>
      <x:c r="T292" s="79" t="n"/>
      <x:c r="U292" s="61" t="n"/>
    </x:row>
    <x:row r="293">
      <x:c r="A293" s="56" t="str">
        <x:f>IF(B293="","","TL-"&amp;TEXT(ROW()-4,"0000"))</x:f>
      </x:c>
      <x:c r="B293" s="74" t="n"/>
      <x:c r="C293" s="56" t="n"/>
      <x:c r="D293" s="58" t="n"/>
      <x:c r="E293" s="56" t="n"/>
      <x:c r="F293" s="56" t="n"/>
      <x:c r="G293" s="56" t="n"/>
      <x:c r="H293" s="56" t="n"/>
      <x:c r="I293" s="56" t="n"/>
      <x:c r="J293" s="56" t="n"/>
      <x:c r="K293" s="56" t="n"/>
      <x:c r="L293" s="58" t="str">
        <x:f>IF(B293="","",173.33)</x:f>
      </x:c>
      <x:c r="M293" s="58" t="str">
        <x:f>IF(OR(D293="",L293=""),"",D293/L293)</x:f>
      </x:c>
      <x:c r="N293" s="76" t="n"/>
      <x:c r="O293" s="76" t="str">
        <x:f>IF(OR(M293="",N293=""),"",M293*N293)</x:f>
      </x:c>
      <x:c r="P293" s="76" t="str">
        <x:f>IF(B293="","",6732)</x:f>
      </x:c>
      <x:c r="Q293" s="76" t="str">
        <x:f>IF(OR(D293="",P293=""),"",D293*P293)</x:f>
      </x:c>
      <x:c r="R293" s="56" t="n"/>
      <x:c r="S293" s="56" t="n"/>
      <x:c r="T293" s="74" t="n"/>
      <x:c r="U293" s="56" t="n"/>
    </x:row>
    <x:row r="294">
      <x:c r="A294" s="61" t="str">
        <x:f>IF(B294="","","TL-"&amp;TEXT(ROW()-4,"0000"))</x:f>
      </x:c>
      <x:c r="B294" s="79" t="n"/>
      <x:c r="C294" s="61" t="n"/>
      <x:c r="D294" s="63" t="n"/>
      <x:c r="E294" s="61" t="n"/>
      <x:c r="F294" s="61" t="n"/>
      <x:c r="G294" s="61" t="n"/>
      <x:c r="H294" s="61" t="n"/>
      <x:c r="I294" s="61" t="n"/>
      <x:c r="J294" s="61" t="n"/>
      <x:c r="K294" s="61" t="n"/>
      <x:c r="L294" s="63" t="str">
        <x:f>IF(B294="","",173.33)</x:f>
      </x:c>
      <x:c r="M294" s="63" t="str">
        <x:f>IF(OR(D294="",L294=""),"",D294/L294)</x:f>
      </x:c>
      <x:c r="N294" s="82" t="n"/>
      <x:c r="O294" s="82" t="str">
        <x:f>IF(OR(M294="",N294=""),"",M294*N294)</x:f>
      </x:c>
      <x:c r="P294" s="82" t="str">
        <x:f>IF(B294="","",6732)</x:f>
      </x:c>
      <x:c r="Q294" s="82" t="str">
        <x:f>IF(OR(D294="",P294=""),"",D294*P294)</x:f>
      </x:c>
      <x:c r="R294" s="61" t="n"/>
      <x:c r="S294" s="61" t="n"/>
      <x:c r="T294" s="79" t="n"/>
      <x:c r="U294" s="61" t="n"/>
    </x:row>
    <x:row r="295">
      <x:c r="A295" s="56" t="str">
        <x:f>IF(B295="","","TL-"&amp;TEXT(ROW()-4,"0000"))</x:f>
      </x:c>
      <x:c r="B295" s="74" t="n"/>
      <x:c r="C295" s="56" t="n"/>
      <x:c r="D295" s="58" t="n"/>
      <x:c r="E295" s="56" t="n"/>
      <x:c r="F295" s="56" t="n"/>
      <x:c r="G295" s="56" t="n"/>
      <x:c r="H295" s="56" t="n"/>
      <x:c r="I295" s="56" t="n"/>
      <x:c r="J295" s="56" t="n"/>
      <x:c r="K295" s="56" t="n"/>
      <x:c r="L295" s="58" t="str">
        <x:f>IF(B295="","",173.33)</x:f>
      </x:c>
      <x:c r="M295" s="58" t="str">
        <x:f>IF(OR(D295="",L295=""),"",D295/L295)</x:f>
      </x:c>
      <x:c r="N295" s="76" t="n"/>
      <x:c r="O295" s="76" t="str">
        <x:f>IF(OR(M295="",N295=""),"",M295*N295)</x:f>
      </x:c>
      <x:c r="P295" s="76" t="str">
        <x:f>IF(B295="","",6732)</x:f>
      </x:c>
      <x:c r="Q295" s="76" t="str">
        <x:f>IF(OR(D295="",P295=""),"",D295*P295)</x:f>
      </x:c>
      <x:c r="R295" s="56" t="n"/>
      <x:c r="S295" s="56" t="n"/>
      <x:c r="T295" s="74" t="n"/>
      <x:c r="U295" s="56" t="n"/>
    </x:row>
    <x:row r="296">
      <x:c r="A296" s="61" t="str">
        <x:f>IF(B296="","","TL-"&amp;TEXT(ROW()-4,"0000"))</x:f>
      </x:c>
      <x:c r="B296" s="79" t="n"/>
      <x:c r="C296" s="61" t="n"/>
      <x:c r="D296" s="63" t="n"/>
      <x:c r="E296" s="61" t="n"/>
      <x:c r="F296" s="61" t="n"/>
      <x:c r="G296" s="61" t="n"/>
      <x:c r="H296" s="61" t="n"/>
      <x:c r="I296" s="61" t="n"/>
      <x:c r="J296" s="61" t="n"/>
      <x:c r="K296" s="61" t="n"/>
      <x:c r="L296" s="63" t="str">
        <x:f>IF(B296="","",173.33)</x:f>
      </x:c>
      <x:c r="M296" s="63" t="str">
        <x:f>IF(OR(D296="",L296=""),"",D296/L296)</x:f>
      </x:c>
      <x:c r="N296" s="82" t="n"/>
      <x:c r="O296" s="82" t="str">
        <x:f>IF(OR(M296="",N296=""),"",M296*N296)</x:f>
      </x:c>
      <x:c r="P296" s="82" t="str">
        <x:f>IF(B296="","",6732)</x:f>
      </x:c>
      <x:c r="Q296" s="82" t="str">
        <x:f>IF(OR(D296="",P296=""),"",D296*P296)</x:f>
      </x:c>
      <x:c r="R296" s="61" t="n"/>
      <x:c r="S296" s="61" t="n"/>
      <x:c r="T296" s="79" t="n"/>
      <x:c r="U296" s="61" t="n"/>
    </x:row>
    <x:row r="297">
      <x:c r="A297" s="56" t="str">
        <x:f>IF(B297="","","TL-"&amp;TEXT(ROW()-4,"0000"))</x:f>
      </x:c>
      <x:c r="B297" s="74" t="n"/>
      <x:c r="C297" s="56" t="n"/>
      <x:c r="D297" s="58" t="n"/>
      <x:c r="E297" s="56" t="n"/>
      <x:c r="F297" s="56" t="n"/>
      <x:c r="G297" s="56" t="n"/>
      <x:c r="H297" s="56" t="n"/>
      <x:c r="I297" s="56" t="n"/>
      <x:c r="J297" s="56" t="n"/>
      <x:c r="K297" s="56" t="n"/>
      <x:c r="L297" s="58" t="str">
        <x:f>IF(B297="","",173.33)</x:f>
      </x:c>
      <x:c r="M297" s="58" t="str">
        <x:f>IF(OR(D297="",L297=""),"",D297/L297)</x:f>
      </x:c>
      <x:c r="N297" s="76" t="n"/>
      <x:c r="O297" s="76" t="str">
        <x:f>IF(OR(M297="",N297=""),"",M297*N297)</x:f>
      </x:c>
      <x:c r="P297" s="76" t="str">
        <x:f>IF(B297="","",6732)</x:f>
      </x:c>
      <x:c r="Q297" s="76" t="str">
        <x:f>IF(OR(D297="",P297=""),"",D297*P297)</x:f>
      </x:c>
      <x:c r="R297" s="56" t="n"/>
      <x:c r="S297" s="56" t="n"/>
      <x:c r="T297" s="74" t="n"/>
      <x:c r="U297" s="56" t="n"/>
    </x:row>
    <x:row r="298">
      <x:c r="A298" s="61" t="str">
        <x:f>IF(B298="","","TL-"&amp;TEXT(ROW()-4,"0000"))</x:f>
      </x:c>
      <x:c r="B298" s="79" t="n"/>
      <x:c r="C298" s="61" t="n"/>
      <x:c r="D298" s="63" t="n"/>
      <x:c r="E298" s="61" t="n"/>
      <x:c r="F298" s="61" t="n"/>
      <x:c r="G298" s="61" t="n"/>
      <x:c r="H298" s="61" t="n"/>
      <x:c r="I298" s="61" t="n"/>
      <x:c r="J298" s="61" t="n"/>
      <x:c r="K298" s="61" t="n"/>
      <x:c r="L298" s="63" t="str">
        <x:f>IF(B298="","",173.33)</x:f>
      </x:c>
      <x:c r="M298" s="63" t="str">
        <x:f>IF(OR(D298="",L298=""),"",D298/L298)</x:f>
      </x:c>
      <x:c r="N298" s="82" t="n"/>
      <x:c r="O298" s="82" t="str">
        <x:f>IF(OR(M298="",N298=""),"",M298*N298)</x:f>
      </x:c>
      <x:c r="P298" s="82" t="str">
        <x:f>IF(B298="","",6732)</x:f>
      </x:c>
      <x:c r="Q298" s="82" t="str">
        <x:f>IF(OR(D298="",P298=""),"",D298*P298)</x:f>
      </x:c>
      <x:c r="R298" s="61" t="n"/>
      <x:c r="S298" s="61" t="n"/>
      <x:c r="T298" s="79" t="n"/>
      <x:c r="U298" s="61" t="n"/>
    </x:row>
    <x:row r="299">
      <x:c r="A299" s="56" t="str">
        <x:f>IF(B299="","","TL-"&amp;TEXT(ROW()-4,"0000"))</x:f>
      </x:c>
      <x:c r="B299" s="74" t="n"/>
      <x:c r="C299" s="56" t="n"/>
      <x:c r="D299" s="58" t="n"/>
      <x:c r="E299" s="56" t="n"/>
      <x:c r="F299" s="56" t="n"/>
      <x:c r="G299" s="56" t="n"/>
      <x:c r="H299" s="56" t="n"/>
      <x:c r="I299" s="56" t="n"/>
      <x:c r="J299" s="56" t="n"/>
      <x:c r="K299" s="56" t="n"/>
      <x:c r="L299" s="58" t="str">
        <x:f>IF(B299="","",173.33)</x:f>
      </x:c>
      <x:c r="M299" s="58" t="str">
        <x:f>IF(OR(D299="",L299=""),"",D299/L299)</x:f>
      </x:c>
      <x:c r="N299" s="76" t="n"/>
      <x:c r="O299" s="76" t="str">
        <x:f>IF(OR(M299="",N299=""),"",M299*N299)</x:f>
      </x:c>
      <x:c r="P299" s="76" t="str">
        <x:f>IF(B299="","",6732)</x:f>
      </x:c>
      <x:c r="Q299" s="76" t="str">
        <x:f>IF(OR(D299="",P299=""),"",D299*P299)</x:f>
      </x:c>
      <x:c r="R299" s="56" t="n"/>
      <x:c r="S299" s="56" t="n"/>
      <x:c r="T299" s="74" t="n"/>
      <x:c r="U299" s="56" t="n"/>
    </x:row>
    <x:row r="300">
      <x:c r="A300" s="61" t="str">
        <x:f>IF(B300="","","TL-"&amp;TEXT(ROW()-4,"0000"))</x:f>
      </x:c>
      <x:c r="B300" s="79" t="n"/>
      <x:c r="C300" s="61" t="n"/>
      <x:c r="D300" s="63" t="n"/>
      <x:c r="E300" s="61" t="n"/>
      <x:c r="F300" s="61" t="n"/>
      <x:c r="G300" s="61" t="n"/>
      <x:c r="H300" s="61" t="n"/>
      <x:c r="I300" s="61" t="n"/>
      <x:c r="J300" s="61" t="n"/>
      <x:c r="K300" s="61" t="n"/>
      <x:c r="L300" s="63" t="str">
        <x:f>IF(B300="","",173.33)</x:f>
      </x:c>
      <x:c r="M300" s="63" t="str">
        <x:f>IF(OR(D300="",L300=""),"",D300/L300)</x:f>
      </x:c>
      <x:c r="N300" s="82" t="n"/>
      <x:c r="O300" s="82" t="str">
        <x:f>IF(OR(M300="",N300=""),"",M300*N300)</x:f>
      </x:c>
      <x:c r="P300" s="82" t="str">
        <x:f>IF(B300="","",6732)</x:f>
      </x:c>
      <x:c r="Q300" s="82" t="str">
        <x:f>IF(OR(D300="",P300=""),"",D300*P300)</x:f>
      </x:c>
      <x:c r="R300" s="61" t="n"/>
      <x:c r="S300" s="61" t="n"/>
      <x:c r="T300" s="79" t="n"/>
      <x:c r="U300" s="61" t="n"/>
    </x:row>
    <x:row r="301">
      <x:c r="A301" s="56" t="str">
        <x:f>IF(B301="","","TL-"&amp;TEXT(ROW()-4,"0000"))</x:f>
      </x:c>
      <x:c r="B301" s="74" t="n"/>
      <x:c r="C301" s="56" t="n"/>
      <x:c r="D301" s="58" t="n"/>
      <x:c r="E301" s="56" t="n"/>
      <x:c r="F301" s="56" t="n"/>
      <x:c r="G301" s="56" t="n"/>
      <x:c r="H301" s="56" t="n"/>
      <x:c r="I301" s="56" t="n"/>
      <x:c r="J301" s="56" t="n"/>
      <x:c r="K301" s="56" t="n"/>
      <x:c r="L301" s="58" t="str">
        <x:f>IF(B301="","",173.33)</x:f>
      </x:c>
      <x:c r="M301" s="58" t="str">
        <x:f>IF(OR(D301="",L301=""),"",D301/L301)</x:f>
      </x:c>
      <x:c r="N301" s="76" t="n"/>
      <x:c r="O301" s="76" t="str">
        <x:f>IF(OR(M301="",N301=""),"",M301*N301)</x:f>
      </x:c>
      <x:c r="P301" s="76" t="str">
        <x:f>IF(B301="","",6732)</x:f>
      </x:c>
      <x:c r="Q301" s="76" t="str">
        <x:f>IF(OR(D301="",P301=""),"",D301*P301)</x:f>
      </x:c>
      <x:c r="R301" s="56" t="n"/>
      <x:c r="S301" s="56" t="n"/>
      <x:c r="T301" s="74" t="n"/>
      <x:c r="U301" s="56" t="n"/>
    </x:row>
    <x:row r="302">
      <x:c r="A302" s="61" t="str">
        <x:f>IF(B302="","","TL-"&amp;TEXT(ROW()-4,"0000"))</x:f>
      </x:c>
      <x:c r="B302" s="79" t="n"/>
      <x:c r="C302" s="61" t="n"/>
      <x:c r="D302" s="63" t="n"/>
      <x:c r="E302" s="61" t="n"/>
      <x:c r="F302" s="61" t="n"/>
      <x:c r="G302" s="61" t="n"/>
      <x:c r="H302" s="61" t="n"/>
      <x:c r="I302" s="61" t="n"/>
      <x:c r="J302" s="61" t="n"/>
      <x:c r="K302" s="61" t="n"/>
      <x:c r="L302" s="63" t="str">
        <x:f>IF(B302="","",173.33)</x:f>
      </x:c>
      <x:c r="M302" s="63" t="str">
        <x:f>IF(OR(D302="",L302=""),"",D302/L302)</x:f>
      </x:c>
      <x:c r="N302" s="82" t="n"/>
      <x:c r="O302" s="82" t="str">
        <x:f>IF(OR(M302="",N302=""),"",M302*N302)</x:f>
      </x:c>
      <x:c r="P302" s="82" t="str">
        <x:f>IF(B302="","",6732)</x:f>
      </x:c>
      <x:c r="Q302" s="82" t="str">
        <x:f>IF(OR(D302="",P302=""),"",D302*P302)</x:f>
      </x:c>
      <x:c r="R302" s="61" t="n"/>
      <x:c r="S302" s="61" t="n"/>
      <x:c r="T302" s="79" t="n"/>
      <x:c r="U302" s="61" t="n"/>
    </x:row>
    <x:row r="303">
      <x:c r="A303" s="56" t="str">
        <x:f>IF(B303="","","TL-"&amp;TEXT(ROW()-4,"0000"))</x:f>
      </x:c>
      <x:c r="B303" s="74" t="n"/>
      <x:c r="C303" s="56" t="n"/>
      <x:c r="D303" s="58" t="n"/>
      <x:c r="E303" s="56" t="n"/>
      <x:c r="F303" s="56" t="n"/>
      <x:c r="G303" s="56" t="n"/>
      <x:c r="H303" s="56" t="n"/>
      <x:c r="I303" s="56" t="n"/>
      <x:c r="J303" s="56" t="n"/>
      <x:c r="K303" s="56" t="n"/>
      <x:c r="L303" s="58" t="str">
        <x:f>IF(B303="","",173.33)</x:f>
      </x:c>
      <x:c r="M303" s="58" t="str">
        <x:f>IF(OR(D303="",L303=""),"",D303/L303)</x:f>
      </x:c>
      <x:c r="N303" s="76" t="n"/>
      <x:c r="O303" s="76" t="str">
        <x:f>IF(OR(M303="",N303=""),"",M303*N303)</x:f>
      </x:c>
      <x:c r="P303" s="76" t="str">
        <x:f>IF(B303="","",6732)</x:f>
      </x:c>
      <x:c r="Q303" s="76" t="str">
        <x:f>IF(OR(D303="",P303=""),"",D303*P303)</x:f>
      </x:c>
      <x:c r="R303" s="56" t="n"/>
      <x:c r="S303" s="56" t="n"/>
      <x:c r="T303" s="74" t="n"/>
      <x:c r="U303" s="56" t="n"/>
    </x:row>
    <x:row r="304">
      <x:c r="A304" s="61" t="str">
        <x:f>IF(B304="","","TL-"&amp;TEXT(ROW()-4,"0000"))</x:f>
      </x:c>
      <x:c r="B304" s="79" t="n"/>
      <x:c r="C304" s="61" t="n"/>
      <x:c r="D304" s="63" t="n"/>
      <x:c r="E304" s="61" t="n"/>
      <x:c r="F304" s="61" t="n"/>
      <x:c r="G304" s="61" t="n"/>
      <x:c r="H304" s="61" t="n"/>
      <x:c r="I304" s="61" t="n"/>
      <x:c r="J304" s="61" t="n"/>
      <x:c r="K304" s="61" t="n"/>
      <x:c r="L304" s="63" t="str">
        <x:f>IF(B304="","",173.33)</x:f>
      </x:c>
      <x:c r="M304" s="63" t="str">
        <x:f>IF(OR(D304="",L304=""),"",D304/L304)</x:f>
      </x:c>
      <x:c r="N304" s="82" t="n"/>
      <x:c r="O304" s="82" t="str">
        <x:f>IF(OR(M304="",N304=""),"",M304*N304)</x:f>
      </x:c>
      <x:c r="P304" s="82" t="str">
        <x:f>IF(B304="","",6732)</x:f>
      </x:c>
      <x:c r="Q304" s="82" t="str">
        <x:f>IF(OR(D304="",P304=""),"",D304*P304)</x:f>
      </x:c>
      <x:c r="R304" s="61" t="n"/>
      <x:c r="S304" s="61" t="n"/>
      <x:c r="T304" s="79" t="n"/>
      <x:c r="U304" s="61" t="n"/>
    </x:row>
    <x:row r="305">
      <x:c r="A305" s="56" t="str">
        <x:f>IF(B305="","","TL-"&amp;TEXT(ROW()-4,"0000"))</x:f>
      </x:c>
      <x:c r="B305" s="74" t="n"/>
      <x:c r="C305" s="56" t="n"/>
      <x:c r="D305" s="58" t="n"/>
      <x:c r="E305" s="56" t="n"/>
      <x:c r="F305" s="56" t="n"/>
      <x:c r="G305" s="56" t="n"/>
      <x:c r="H305" s="56" t="n"/>
      <x:c r="I305" s="56" t="n"/>
      <x:c r="J305" s="56" t="n"/>
      <x:c r="K305" s="56" t="n"/>
      <x:c r="L305" s="58" t="str">
        <x:f>IF(B305="","",173.33)</x:f>
      </x:c>
      <x:c r="M305" s="58" t="str">
        <x:f>IF(OR(D305="",L305=""),"",D305/L305)</x:f>
      </x:c>
      <x:c r="N305" s="76" t="n"/>
      <x:c r="O305" s="76" t="str">
        <x:f>IF(OR(M305="",N305=""),"",M305*N305)</x:f>
      </x:c>
      <x:c r="P305" s="76" t="str">
        <x:f>IF(B305="","",6732)</x:f>
      </x:c>
      <x:c r="Q305" s="76" t="str">
        <x:f>IF(OR(D305="",P305=""),"",D305*P305)</x:f>
      </x:c>
      <x:c r="R305" s="56" t="n"/>
      <x:c r="S305" s="56" t="n"/>
      <x:c r="T305" s="74" t="n"/>
      <x:c r="U305" s="56" t="n"/>
    </x:row>
    <x:row r="306">
      <x:c r="A306" s="61" t="str">
        <x:f>IF(B306="","","TL-"&amp;TEXT(ROW()-4,"0000"))</x:f>
      </x:c>
      <x:c r="B306" s="79" t="n"/>
      <x:c r="C306" s="61" t="n"/>
      <x:c r="D306" s="63" t="n"/>
      <x:c r="E306" s="61" t="n"/>
      <x:c r="F306" s="61" t="n"/>
      <x:c r="G306" s="61" t="n"/>
      <x:c r="H306" s="61" t="n"/>
      <x:c r="I306" s="61" t="n"/>
      <x:c r="J306" s="61" t="n"/>
      <x:c r="K306" s="61" t="n"/>
      <x:c r="L306" s="63" t="str">
        <x:f>IF(B306="","",173.33)</x:f>
      </x:c>
      <x:c r="M306" s="63" t="str">
        <x:f>IF(OR(D306="",L306=""),"",D306/L306)</x:f>
      </x:c>
      <x:c r="N306" s="82" t="n"/>
      <x:c r="O306" s="82" t="str">
        <x:f>IF(OR(M306="",N306=""),"",M306*N306)</x:f>
      </x:c>
      <x:c r="P306" s="82" t="str">
        <x:f>IF(B306="","",6732)</x:f>
      </x:c>
      <x:c r="Q306" s="82" t="str">
        <x:f>IF(OR(D306="",P306=""),"",D306*P306)</x:f>
      </x:c>
      <x:c r="R306" s="61" t="n"/>
      <x:c r="S306" s="61" t="n"/>
      <x:c r="T306" s="79" t="n"/>
      <x:c r="U306" s="61" t="n"/>
    </x:row>
    <x:row r="307">
      <x:c r="A307" s="56" t="str">
        <x:f>IF(B307="","","TL-"&amp;TEXT(ROW()-4,"0000"))</x:f>
      </x:c>
      <x:c r="B307" s="74" t="n"/>
      <x:c r="C307" s="56" t="n"/>
      <x:c r="D307" s="58" t="n"/>
      <x:c r="E307" s="56" t="n"/>
      <x:c r="F307" s="56" t="n"/>
      <x:c r="G307" s="56" t="n"/>
      <x:c r="H307" s="56" t="n"/>
      <x:c r="I307" s="56" t="n"/>
      <x:c r="J307" s="56" t="n"/>
      <x:c r="K307" s="56" t="n"/>
      <x:c r="L307" s="58" t="str">
        <x:f>IF(B307="","",173.33)</x:f>
      </x:c>
      <x:c r="M307" s="58" t="str">
        <x:f>IF(OR(D307="",L307=""),"",D307/L307)</x:f>
      </x:c>
      <x:c r="N307" s="76" t="n"/>
      <x:c r="O307" s="76" t="str">
        <x:f>IF(OR(M307="",N307=""),"",M307*N307)</x:f>
      </x:c>
      <x:c r="P307" s="76" t="str">
        <x:f>IF(B307="","",6732)</x:f>
      </x:c>
      <x:c r="Q307" s="76" t="str">
        <x:f>IF(OR(D307="",P307=""),"",D307*P307)</x:f>
      </x:c>
      <x:c r="R307" s="56" t="n"/>
      <x:c r="S307" s="56" t="n"/>
      <x:c r="T307" s="74" t="n"/>
      <x:c r="U307" s="56" t="n"/>
    </x:row>
    <x:row r="308">
      <x:c r="A308" s="61" t="str">
        <x:f>IF(B308="","","TL-"&amp;TEXT(ROW()-4,"0000"))</x:f>
      </x:c>
      <x:c r="B308" s="79" t="n"/>
      <x:c r="C308" s="61" t="n"/>
      <x:c r="D308" s="63" t="n"/>
      <x:c r="E308" s="61" t="n"/>
      <x:c r="F308" s="61" t="n"/>
      <x:c r="G308" s="61" t="n"/>
      <x:c r="H308" s="61" t="n"/>
      <x:c r="I308" s="61" t="n"/>
      <x:c r="J308" s="61" t="n"/>
      <x:c r="K308" s="61" t="n"/>
      <x:c r="L308" s="63" t="str">
        <x:f>IF(B308="","",173.33)</x:f>
      </x:c>
      <x:c r="M308" s="63" t="str">
        <x:f>IF(OR(D308="",L308=""),"",D308/L308)</x:f>
      </x:c>
      <x:c r="N308" s="82" t="n"/>
      <x:c r="O308" s="82" t="str">
        <x:f>IF(OR(M308="",N308=""),"",M308*N308)</x:f>
      </x:c>
      <x:c r="P308" s="82" t="str">
        <x:f>IF(B308="","",6732)</x:f>
      </x:c>
      <x:c r="Q308" s="82" t="str">
        <x:f>IF(OR(D308="",P308=""),"",D308*P308)</x:f>
      </x:c>
      <x:c r="R308" s="61" t="n"/>
      <x:c r="S308" s="61" t="n"/>
      <x:c r="T308" s="79" t="n"/>
      <x:c r="U308" s="61" t="n"/>
    </x:row>
    <x:row r="309">
      <x:c r="A309" s="56" t="str">
        <x:f>IF(B309="","","TL-"&amp;TEXT(ROW()-4,"0000"))</x:f>
      </x:c>
      <x:c r="B309" s="74" t="n"/>
      <x:c r="C309" s="56" t="n"/>
      <x:c r="D309" s="58" t="n"/>
      <x:c r="E309" s="56" t="n"/>
      <x:c r="F309" s="56" t="n"/>
      <x:c r="G309" s="56" t="n"/>
      <x:c r="H309" s="56" t="n"/>
      <x:c r="I309" s="56" t="n"/>
      <x:c r="J309" s="56" t="n"/>
      <x:c r="K309" s="56" t="n"/>
      <x:c r="L309" s="58" t="str">
        <x:f>IF(B309="","",173.33)</x:f>
      </x:c>
      <x:c r="M309" s="58" t="str">
        <x:f>IF(OR(D309="",L309=""),"",D309/L309)</x:f>
      </x:c>
      <x:c r="N309" s="76" t="n"/>
      <x:c r="O309" s="76" t="str">
        <x:f>IF(OR(M309="",N309=""),"",M309*N309)</x:f>
      </x:c>
      <x:c r="P309" s="76" t="str">
        <x:f>IF(B309="","",6732)</x:f>
      </x:c>
      <x:c r="Q309" s="76" t="str">
        <x:f>IF(OR(D309="",P309=""),"",D309*P309)</x:f>
      </x:c>
      <x:c r="R309" s="56" t="n"/>
      <x:c r="S309" s="56" t="n"/>
      <x:c r="T309" s="74" t="n"/>
      <x:c r="U309" s="56" t="n"/>
    </x:row>
    <x:row r="310">
      <x:c r="A310" s="61" t="str">
        <x:f>IF(B310="","","TL-"&amp;TEXT(ROW()-4,"0000"))</x:f>
      </x:c>
      <x:c r="B310" s="79" t="n"/>
      <x:c r="C310" s="61" t="n"/>
      <x:c r="D310" s="63" t="n"/>
      <x:c r="E310" s="61" t="n"/>
      <x:c r="F310" s="61" t="n"/>
      <x:c r="G310" s="61" t="n"/>
      <x:c r="H310" s="61" t="n"/>
      <x:c r="I310" s="61" t="n"/>
      <x:c r="J310" s="61" t="n"/>
      <x:c r="K310" s="61" t="n"/>
      <x:c r="L310" s="63" t="str">
        <x:f>IF(B310="","",173.33)</x:f>
      </x:c>
      <x:c r="M310" s="63" t="str">
        <x:f>IF(OR(D310="",L310=""),"",D310/L310)</x:f>
      </x:c>
      <x:c r="N310" s="82" t="n"/>
      <x:c r="O310" s="82" t="str">
        <x:f>IF(OR(M310="",N310=""),"",M310*N310)</x:f>
      </x:c>
      <x:c r="P310" s="82" t="str">
        <x:f>IF(B310="","",6732)</x:f>
      </x:c>
      <x:c r="Q310" s="82" t="str">
        <x:f>IF(OR(D310="",P310=""),"",D310*P310)</x:f>
      </x:c>
      <x:c r="R310" s="61" t="n"/>
      <x:c r="S310" s="61" t="n"/>
      <x:c r="T310" s="79" t="n"/>
      <x:c r="U310" s="61" t="n"/>
    </x:row>
    <x:row r="311">
      <x:c r="A311" s="56" t="str">
        <x:f>IF(B311="","","TL-"&amp;TEXT(ROW()-4,"0000"))</x:f>
      </x:c>
      <x:c r="B311" s="74" t="n"/>
      <x:c r="C311" s="56" t="n"/>
      <x:c r="D311" s="58" t="n"/>
      <x:c r="E311" s="56" t="n"/>
      <x:c r="F311" s="56" t="n"/>
      <x:c r="G311" s="56" t="n"/>
      <x:c r="H311" s="56" t="n"/>
      <x:c r="I311" s="56" t="n"/>
      <x:c r="J311" s="56" t="n"/>
      <x:c r="K311" s="56" t="n"/>
      <x:c r="L311" s="58" t="str">
        <x:f>IF(B311="","",173.33)</x:f>
      </x:c>
      <x:c r="M311" s="58" t="str">
        <x:f>IF(OR(D311="",L311=""),"",D311/L311)</x:f>
      </x:c>
      <x:c r="N311" s="76" t="n"/>
      <x:c r="O311" s="76" t="str">
        <x:f>IF(OR(M311="",N311=""),"",M311*N311)</x:f>
      </x:c>
      <x:c r="P311" s="76" t="str">
        <x:f>IF(B311="","",6732)</x:f>
      </x:c>
      <x:c r="Q311" s="76" t="str">
        <x:f>IF(OR(D311="",P311=""),"",D311*P311)</x:f>
      </x:c>
      <x:c r="R311" s="56" t="n"/>
      <x:c r="S311" s="56" t="n"/>
      <x:c r="T311" s="74" t="n"/>
      <x:c r="U311" s="56" t="n"/>
    </x:row>
    <x:row r="312">
      <x:c r="A312" s="61" t="str">
        <x:f>IF(B312="","","TL-"&amp;TEXT(ROW()-4,"0000"))</x:f>
      </x:c>
      <x:c r="B312" s="79" t="n"/>
      <x:c r="C312" s="61" t="n"/>
      <x:c r="D312" s="63" t="n"/>
      <x:c r="E312" s="61" t="n"/>
      <x:c r="F312" s="61" t="n"/>
      <x:c r="G312" s="61" t="n"/>
      <x:c r="H312" s="61" t="n"/>
      <x:c r="I312" s="61" t="n"/>
      <x:c r="J312" s="61" t="n"/>
      <x:c r="K312" s="61" t="n"/>
      <x:c r="L312" s="63" t="str">
        <x:f>IF(B312="","",173.33)</x:f>
      </x:c>
      <x:c r="M312" s="63" t="str">
        <x:f>IF(OR(D312="",L312=""),"",D312/L312)</x:f>
      </x:c>
      <x:c r="N312" s="82" t="n"/>
      <x:c r="O312" s="82" t="str">
        <x:f>IF(OR(M312="",N312=""),"",M312*N312)</x:f>
      </x:c>
      <x:c r="P312" s="82" t="str">
        <x:f>IF(B312="","",6732)</x:f>
      </x:c>
      <x:c r="Q312" s="82" t="str">
        <x:f>IF(OR(D312="",P312=""),"",D312*P312)</x:f>
      </x:c>
      <x:c r="R312" s="61" t="n"/>
      <x:c r="S312" s="61" t="n"/>
      <x:c r="T312" s="79" t="n"/>
      <x:c r="U312" s="61" t="n"/>
    </x:row>
    <x:row r="313">
      <x:c r="A313" s="56" t="str">
        <x:f>IF(B313="","","TL-"&amp;TEXT(ROW()-4,"0000"))</x:f>
      </x:c>
      <x:c r="B313" s="74" t="n"/>
      <x:c r="C313" s="56" t="n"/>
      <x:c r="D313" s="58" t="n"/>
      <x:c r="E313" s="56" t="n"/>
      <x:c r="F313" s="56" t="n"/>
      <x:c r="G313" s="56" t="n"/>
      <x:c r="H313" s="56" t="n"/>
      <x:c r="I313" s="56" t="n"/>
      <x:c r="J313" s="56" t="n"/>
      <x:c r="K313" s="56" t="n"/>
      <x:c r="L313" s="58" t="str">
        <x:f>IF(B313="","",173.33)</x:f>
      </x:c>
      <x:c r="M313" s="58" t="str">
        <x:f>IF(OR(D313="",L313=""),"",D313/L313)</x:f>
      </x:c>
      <x:c r="N313" s="76" t="n"/>
      <x:c r="O313" s="76" t="str">
        <x:f>IF(OR(M313="",N313=""),"",M313*N313)</x:f>
      </x:c>
      <x:c r="P313" s="76" t="str">
        <x:f>IF(B313="","",6732)</x:f>
      </x:c>
      <x:c r="Q313" s="76" t="str">
        <x:f>IF(OR(D313="",P313=""),"",D313*P313)</x:f>
      </x:c>
      <x:c r="R313" s="56" t="n"/>
      <x:c r="S313" s="56" t="n"/>
      <x:c r="T313" s="74" t="n"/>
      <x:c r="U313" s="56" t="n"/>
    </x:row>
    <x:row r="314">
      <x:c r="A314" s="61" t="str">
        <x:f>IF(B314="","","TL-"&amp;TEXT(ROW()-4,"0000"))</x:f>
      </x:c>
      <x:c r="B314" s="79" t="n"/>
      <x:c r="C314" s="61" t="n"/>
      <x:c r="D314" s="63" t="n"/>
      <x:c r="E314" s="61" t="n"/>
      <x:c r="F314" s="61" t="n"/>
      <x:c r="G314" s="61" t="n"/>
      <x:c r="H314" s="61" t="n"/>
      <x:c r="I314" s="61" t="n"/>
      <x:c r="J314" s="61" t="n"/>
      <x:c r="K314" s="61" t="n"/>
      <x:c r="L314" s="63" t="str">
        <x:f>IF(B314="","",173.33)</x:f>
      </x:c>
      <x:c r="M314" s="63" t="str">
        <x:f>IF(OR(D314="",L314=""),"",D314/L314)</x:f>
      </x:c>
      <x:c r="N314" s="82" t="n"/>
      <x:c r="O314" s="82" t="str">
        <x:f>IF(OR(M314="",N314=""),"",M314*N314)</x:f>
      </x:c>
      <x:c r="P314" s="82" t="str">
        <x:f>IF(B314="","",6732)</x:f>
      </x:c>
      <x:c r="Q314" s="82" t="str">
        <x:f>IF(OR(D314="",P314=""),"",D314*P314)</x:f>
      </x:c>
      <x:c r="R314" s="61" t="n"/>
      <x:c r="S314" s="61" t="n"/>
      <x:c r="T314" s="79" t="n"/>
      <x:c r="U314" s="61" t="n"/>
    </x:row>
    <x:row r="315">
      <x:c r="A315" s="56" t="str">
        <x:f>IF(B315="","","TL-"&amp;TEXT(ROW()-4,"0000"))</x:f>
      </x:c>
      <x:c r="B315" s="74" t="n"/>
      <x:c r="C315" s="56" t="n"/>
      <x:c r="D315" s="58" t="n"/>
      <x:c r="E315" s="56" t="n"/>
      <x:c r="F315" s="56" t="n"/>
      <x:c r="G315" s="56" t="n"/>
      <x:c r="H315" s="56" t="n"/>
      <x:c r="I315" s="56" t="n"/>
      <x:c r="J315" s="56" t="n"/>
      <x:c r="K315" s="56" t="n"/>
      <x:c r="L315" s="58" t="str">
        <x:f>IF(B315="","",173.33)</x:f>
      </x:c>
      <x:c r="M315" s="58" t="str">
        <x:f>IF(OR(D315="",L315=""),"",D315/L315)</x:f>
      </x:c>
      <x:c r="N315" s="76" t="n"/>
      <x:c r="O315" s="76" t="str">
        <x:f>IF(OR(M315="",N315=""),"",M315*N315)</x:f>
      </x:c>
      <x:c r="P315" s="76" t="str">
        <x:f>IF(B315="","",6732)</x:f>
      </x:c>
      <x:c r="Q315" s="76" t="str">
        <x:f>IF(OR(D315="",P315=""),"",D315*P315)</x:f>
      </x:c>
      <x:c r="R315" s="56" t="n"/>
      <x:c r="S315" s="56" t="n"/>
      <x:c r="T315" s="74" t="n"/>
      <x:c r="U315" s="56" t="n"/>
    </x:row>
    <x:row r="316">
      <x:c r="A316" s="61" t="str">
        <x:f>IF(B316="","","TL-"&amp;TEXT(ROW()-4,"0000"))</x:f>
      </x:c>
      <x:c r="B316" s="79" t="n"/>
      <x:c r="C316" s="61" t="n"/>
      <x:c r="D316" s="63" t="n"/>
      <x:c r="E316" s="61" t="n"/>
      <x:c r="F316" s="61" t="n"/>
      <x:c r="G316" s="61" t="n"/>
      <x:c r="H316" s="61" t="n"/>
      <x:c r="I316" s="61" t="n"/>
      <x:c r="J316" s="61" t="n"/>
      <x:c r="K316" s="61" t="n"/>
      <x:c r="L316" s="63" t="str">
        <x:f>IF(B316="","",173.33)</x:f>
      </x:c>
      <x:c r="M316" s="63" t="str">
        <x:f>IF(OR(D316="",L316=""),"",D316/L316)</x:f>
      </x:c>
      <x:c r="N316" s="82" t="n"/>
      <x:c r="O316" s="82" t="str">
        <x:f>IF(OR(M316="",N316=""),"",M316*N316)</x:f>
      </x:c>
      <x:c r="P316" s="82" t="str">
        <x:f>IF(B316="","",6732)</x:f>
      </x:c>
      <x:c r="Q316" s="82" t="str">
        <x:f>IF(OR(D316="",P316=""),"",D316*P316)</x:f>
      </x:c>
      <x:c r="R316" s="61" t="n"/>
      <x:c r="S316" s="61" t="n"/>
      <x:c r="T316" s="79" t="n"/>
      <x:c r="U316" s="61" t="n"/>
    </x:row>
    <x:row r="317">
      <x:c r="A317" s="56" t="str">
        <x:f>IF(B317="","","TL-"&amp;TEXT(ROW()-4,"0000"))</x:f>
      </x:c>
      <x:c r="B317" s="74" t="n"/>
      <x:c r="C317" s="56" t="n"/>
      <x:c r="D317" s="58" t="n"/>
      <x:c r="E317" s="56" t="n"/>
      <x:c r="F317" s="56" t="n"/>
      <x:c r="G317" s="56" t="n"/>
      <x:c r="H317" s="56" t="n"/>
      <x:c r="I317" s="56" t="n"/>
      <x:c r="J317" s="56" t="n"/>
      <x:c r="K317" s="56" t="n"/>
      <x:c r="L317" s="58" t="str">
        <x:f>IF(B317="","",173.33)</x:f>
      </x:c>
      <x:c r="M317" s="58" t="str">
        <x:f>IF(OR(D317="",L317=""),"",D317/L317)</x:f>
      </x:c>
      <x:c r="N317" s="76" t="n"/>
      <x:c r="O317" s="76" t="str">
        <x:f>IF(OR(M317="",N317=""),"",M317*N317)</x:f>
      </x:c>
      <x:c r="P317" s="76" t="str">
        <x:f>IF(B317="","",6732)</x:f>
      </x:c>
      <x:c r="Q317" s="76" t="str">
        <x:f>IF(OR(D317="",P317=""),"",D317*P317)</x:f>
      </x:c>
      <x:c r="R317" s="56" t="n"/>
      <x:c r="S317" s="56" t="n"/>
      <x:c r="T317" s="74" t="n"/>
      <x:c r="U317" s="56" t="n"/>
    </x:row>
    <x:row r="318">
      <x:c r="A318" s="61" t="str">
        <x:f>IF(B318="","","TL-"&amp;TEXT(ROW()-4,"0000"))</x:f>
      </x:c>
      <x:c r="B318" s="79" t="n"/>
      <x:c r="C318" s="61" t="n"/>
      <x:c r="D318" s="63" t="n"/>
      <x:c r="E318" s="61" t="n"/>
      <x:c r="F318" s="61" t="n"/>
      <x:c r="G318" s="61" t="n"/>
      <x:c r="H318" s="61" t="n"/>
      <x:c r="I318" s="61" t="n"/>
      <x:c r="J318" s="61" t="n"/>
      <x:c r="K318" s="61" t="n"/>
      <x:c r="L318" s="63" t="str">
        <x:f>IF(B318="","",173.33)</x:f>
      </x:c>
      <x:c r="M318" s="63" t="str">
        <x:f>IF(OR(D318="",L318=""),"",D318/L318)</x:f>
      </x:c>
      <x:c r="N318" s="82" t="n"/>
      <x:c r="O318" s="82" t="str">
        <x:f>IF(OR(M318="",N318=""),"",M318*N318)</x:f>
      </x:c>
      <x:c r="P318" s="82" t="str">
        <x:f>IF(B318="","",6732)</x:f>
      </x:c>
      <x:c r="Q318" s="82" t="str">
        <x:f>IF(OR(D318="",P318=""),"",D318*P318)</x:f>
      </x:c>
      <x:c r="R318" s="61" t="n"/>
      <x:c r="S318" s="61" t="n"/>
      <x:c r="T318" s="79" t="n"/>
      <x:c r="U318" s="61" t="n"/>
    </x:row>
    <x:row r="319">
      <x:c r="A319" s="56" t="str">
        <x:f>IF(B319="","","TL-"&amp;TEXT(ROW()-4,"0000"))</x:f>
      </x:c>
      <x:c r="B319" s="74" t="n"/>
      <x:c r="C319" s="56" t="n"/>
      <x:c r="D319" s="58" t="n"/>
      <x:c r="E319" s="56" t="n"/>
      <x:c r="F319" s="56" t="n"/>
      <x:c r="G319" s="56" t="n"/>
      <x:c r="H319" s="56" t="n"/>
      <x:c r="I319" s="56" t="n"/>
      <x:c r="J319" s="56" t="n"/>
      <x:c r="K319" s="56" t="n"/>
      <x:c r="L319" s="58" t="str">
        <x:f>IF(B319="","",173.33)</x:f>
      </x:c>
      <x:c r="M319" s="58" t="str">
        <x:f>IF(OR(D319="",L319=""),"",D319/L319)</x:f>
      </x:c>
      <x:c r="N319" s="76" t="n"/>
      <x:c r="O319" s="76" t="str">
        <x:f>IF(OR(M319="",N319=""),"",M319*N319)</x:f>
      </x:c>
      <x:c r="P319" s="76" t="str">
        <x:f>IF(B319="","",6732)</x:f>
      </x:c>
      <x:c r="Q319" s="76" t="str">
        <x:f>IF(OR(D319="",P319=""),"",D319*P319)</x:f>
      </x:c>
      <x:c r="R319" s="56" t="n"/>
      <x:c r="S319" s="56" t="n"/>
      <x:c r="T319" s="74" t="n"/>
      <x:c r="U319" s="56" t="n"/>
    </x:row>
    <x:row r="320">
      <x:c r="A320" s="61" t="str">
        <x:f>IF(B320="","","TL-"&amp;TEXT(ROW()-4,"0000"))</x:f>
      </x:c>
      <x:c r="B320" s="79" t="n"/>
      <x:c r="C320" s="61" t="n"/>
      <x:c r="D320" s="63" t="n"/>
      <x:c r="E320" s="61" t="n"/>
      <x:c r="F320" s="61" t="n"/>
      <x:c r="G320" s="61" t="n"/>
      <x:c r="H320" s="61" t="n"/>
      <x:c r="I320" s="61" t="n"/>
      <x:c r="J320" s="61" t="n"/>
      <x:c r="K320" s="61" t="n"/>
      <x:c r="L320" s="63" t="str">
        <x:f>IF(B320="","",173.33)</x:f>
      </x:c>
      <x:c r="M320" s="63" t="str">
        <x:f>IF(OR(D320="",L320=""),"",D320/L320)</x:f>
      </x:c>
      <x:c r="N320" s="82" t="n"/>
      <x:c r="O320" s="82" t="str">
        <x:f>IF(OR(M320="",N320=""),"",M320*N320)</x:f>
      </x:c>
      <x:c r="P320" s="82" t="str">
        <x:f>IF(B320="","",6732)</x:f>
      </x:c>
      <x:c r="Q320" s="82" t="str">
        <x:f>IF(OR(D320="",P320=""),"",D320*P320)</x:f>
      </x:c>
      <x:c r="R320" s="61" t="n"/>
      <x:c r="S320" s="61" t="n"/>
      <x:c r="T320" s="79" t="n"/>
      <x:c r="U320" s="61" t="n"/>
    </x:row>
    <x:row r="321">
      <x:c r="A321" s="56" t="str">
        <x:f>IF(B321="","","TL-"&amp;TEXT(ROW()-4,"0000"))</x:f>
      </x:c>
      <x:c r="B321" s="74" t="n"/>
      <x:c r="C321" s="56" t="n"/>
      <x:c r="D321" s="58" t="n"/>
      <x:c r="E321" s="56" t="n"/>
      <x:c r="F321" s="56" t="n"/>
      <x:c r="G321" s="56" t="n"/>
      <x:c r="H321" s="56" t="n"/>
      <x:c r="I321" s="56" t="n"/>
      <x:c r="J321" s="56" t="n"/>
      <x:c r="K321" s="56" t="n"/>
      <x:c r="L321" s="58" t="str">
        <x:f>IF(B321="","",173.33)</x:f>
      </x:c>
      <x:c r="M321" s="58" t="str">
        <x:f>IF(OR(D321="",L321=""),"",D321/L321)</x:f>
      </x:c>
      <x:c r="N321" s="76" t="n"/>
      <x:c r="O321" s="76" t="str">
        <x:f>IF(OR(M321="",N321=""),"",M321*N321)</x:f>
      </x:c>
      <x:c r="P321" s="76" t="str">
        <x:f>IF(B321="","",6732)</x:f>
      </x:c>
      <x:c r="Q321" s="76" t="str">
        <x:f>IF(OR(D321="",P321=""),"",D321*P321)</x:f>
      </x:c>
      <x:c r="R321" s="56" t="n"/>
      <x:c r="S321" s="56" t="n"/>
      <x:c r="T321" s="74" t="n"/>
      <x:c r="U321" s="56" t="n"/>
    </x:row>
    <x:row r="322">
      <x:c r="A322" s="61" t="str">
        <x:f>IF(B322="","","TL-"&amp;TEXT(ROW()-4,"0000"))</x:f>
      </x:c>
      <x:c r="B322" s="79" t="n"/>
      <x:c r="C322" s="61" t="n"/>
      <x:c r="D322" s="63" t="n"/>
      <x:c r="E322" s="61" t="n"/>
      <x:c r="F322" s="61" t="n"/>
      <x:c r="G322" s="61" t="n"/>
      <x:c r="H322" s="61" t="n"/>
      <x:c r="I322" s="61" t="n"/>
      <x:c r="J322" s="61" t="n"/>
      <x:c r="K322" s="61" t="n"/>
      <x:c r="L322" s="63" t="str">
        <x:f>IF(B322="","",173.33)</x:f>
      </x:c>
      <x:c r="M322" s="63" t="str">
        <x:f>IF(OR(D322="",L322=""),"",D322/L322)</x:f>
      </x:c>
      <x:c r="N322" s="82" t="n"/>
      <x:c r="O322" s="82" t="str">
        <x:f>IF(OR(M322="",N322=""),"",M322*N322)</x:f>
      </x:c>
      <x:c r="P322" s="82" t="str">
        <x:f>IF(B322="","",6732)</x:f>
      </x:c>
      <x:c r="Q322" s="82" t="str">
        <x:f>IF(OR(D322="",P322=""),"",D322*P322)</x:f>
      </x:c>
      <x:c r="R322" s="61" t="n"/>
      <x:c r="S322" s="61" t="n"/>
      <x:c r="T322" s="79" t="n"/>
      <x:c r="U322" s="61" t="n"/>
    </x:row>
    <x:row r="323">
      <x:c r="A323" s="56" t="str">
        <x:f>IF(B323="","","TL-"&amp;TEXT(ROW()-4,"0000"))</x:f>
      </x:c>
      <x:c r="B323" s="74" t="n"/>
      <x:c r="C323" s="56" t="n"/>
      <x:c r="D323" s="58" t="n"/>
      <x:c r="E323" s="56" t="n"/>
      <x:c r="F323" s="56" t="n"/>
      <x:c r="G323" s="56" t="n"/>
      <x:c r="H323" s="56" t="n"/>
      <x:c r="I323" s="56" t="n"/>
      <x:c r="J323" s="56" t="n"/>
      <x:c r="K323" s="56" t="n"/>
      <x:c r="L323" s="58" t="str">
        <x:f>IF(B323="","",173.33)</x:f>
      </x:c>
      <x:c r="M323" s="58" t="str">
        <x:f>IF(OR(D323="",L323=""),"",D323/L323)</x:f>
      </x:c>
      <x:c r="N323" s="76" t="n"/>
      <x:c r="O323" s="76" t="str">
        <x:f>IF(OR(M323="",N323=""),"",M323*N323)</x:f>
      </x:c>
      <x:c r="P323" s="76" t="str">
        <x:f>IF(B323="","",6732)</x:f>
      </x:c>
      <x:c r="Q323" s="76" t="str">
        <x:f>IF(OR(D323="",P323=""),"",D323*P323)</x:f>
      </x:c>
      <x:c r="R323" s="56" t="n"/>
      <x:c r="S323" s="56" t="n"/>
      <x:c r="T323" s="74" t="n"/>
      <x:c r="U323" s="56" t="n"/>
    </x:row>
    <x:row r="324">
      <x:c r="A324" s="61" t="str">
        <x:f>IF(B324="","","TL-"&amp;TEXT(ROW()-4,"0000"))</x:f>
      </x:c>
      <x:c r="B324" s="79" t="n"/>
      <x:c r="C324" s="61" t="n"/>
      <x:c r="D324" s="63" t="n"/>
      <x:c r="E324" s="61" t="n"/>
      <x:c r="F324" s="61" t="n"/>
      <x:c r="G324" s="61" t="n"/>
      <x:c r="H324" s="61" t="n"/>
      <x:c r="I324" s="61" t="n"/>
      <x:c r="J324" s="61" t="n"/>
      <x:c r="K324" s="61" t="n"/>
      <x:c r="L324" s="63" t="str">
        <x:f>IF(B324="","",173.33)</x:f>
      </x:c>
      <x:c r="M324" s="63" t="str">
        <x:f>IF(OR(D324="",L324=""),"",D324/L324)</x:f>
      </x:c>
      <x:c r="N324" s="82" t="n"/>
      <x:c r="O324" s="82" t="str">
        <x:f>IF(OR(M324="",N324=""),"",M324*N324)</x:f>
      </x:c>
      <x:c r="P324" s="82" t="str">
        <x:f>IF(B324="","",6732)</x:f>
      </x:c>
      <x:c r="Q324" s="82" t="str">
        <x:f>IF(OR(D324="",P324=""),"",D324*P324)</x:f>
      </x:c>
      <x:c r="R324" s="61" t="n"/>
      <x:c r="S324" s="61" t="n"/>
      <x:c r="T324" s="79" t="n"/>
      <x:c r="U324" s="61" t="n"/>
    </x:row>
    <x:row r="325">
      <x:c r="A325" s="56" t="str">
        <x:f>IF(B325="","","TL-"&amp;TEXT(ROW()-4,"0000"))</x:f>
      </x:c>
      <x:c r="B325" s="74" t="n"/>
      <x:c r="C325" s="56" t="n"/>
      <x:c r="D325" s="58" t="n"/>
      <x:c r="E325" s="56" t="n"/>
      <x:c r="F325" s="56" t="n"/>
      <x:c r="G325" s="56" t="n"/>
      <x:c r="H325" s="56" t="n"/>
      <x:c r="I325" s="56" t="n"/>
      <x:c r="J325" s="56" t="n"/>
      <x:c r="K325" s="56" t="n"/>
      <x:c r="L325" s="58" t="str">
        <x:f>IF(B325="","",173.33)</x:f>
      </x:c>
      <x:c r="M325" s="58" t="str">
        <x:f>IF(OR(D325="",L325=""),"",D325/L325)</x:f>
      </x:c>
      <x:c r="N325" s="76" t="n"/>
      <x:c r="O325" s="76" t="str">
        <x:f>IF(OR(M325="",N325=""),"",M325*N325)</x:f>
      </x:c>
      <x:c r="P325" s="76" t="str">
        <x:f>IF(B325="","",6732)</x:f>
      </x:c>
      <x:c r="Q325" s="76" t="str">
        <x:f>IF(OR(D325="",P325=""),"",D325*P325)</x:f>
      </x:c>
      <x:c r="R325" s="56" t="n"/>
      <x:c r="S325" s="56" t="n"/>
      <x:c r="T325" s="74" t="n"/>
      <x:c r="U325" s="56" t="n"/>
    </x:row>
    <x:row r="326">
      <x:c r="A326" s="61" t="str">
        <x:f>IF(B326="","","TL-"&amp;TEXT(ROW()-4,"0000"))</x:f>
      </x:c>
      <x:c r="B326" s="79" t="n"/>
      <x:c r="C326" s="61" t="n"/>
      <x:c r="D326" s="63" t="n"/>
      <x:c r="E326" s="61" t="n"/>
      <x:c r="F326" s="61" t="n"/>
      <x:c r="G326" s="61" t="n"/>
      <x:c r="H326" s="61" t="n"/>
      <x:c r="I326" s="61" t="n"/>
      <x:c r="J326" s="61" t="n"/>
      <x:c r="K326" s="61" t="n"/>
      <x:c r="L326" s="63" t="str">
        <x:f>IF(B326="","",173.33)</x:f>
      </x:c>
      <x:c r="M326" s="63" t="str">
        <x:f>IF(OR(D326="",L326=""),"",D326/L326)</x:f>
      </x:c>
      <x:c r="N326" s="82" t="n"/>
      <x:c r="O326" s="82" t="str">
        <x:f>IF(OR(M326="",N326=""),"",M326*N326)</x:f>
      </x:c>
      <x:c r="P326" s="82" t="str">
        <x:f>IF(B326="","",6732)</x:f>
      </x:c>
      <x:c r="Q326" s="82" t="str">
        <x:f>IF(OR(D326="",P326=""),"",D326*P326)</x:f>
      </x:c>
      <x:c r="R326" s="61" t="n"/>
      <x:c r="S326" s="61" t="n"/>
      <x:c r="T326" s="79" t="n"/>
      <x:c r="U326" s="61" t="n"/>
    </x:row>
    <x:row r="327">
      <x:c r="A327" s="56" t="str">
        <x:f>IF(B327="","","TL-"&amp;TEXT(ROW()-4,"0000"))</x:f>
      </x:c>
      <x:c r="B327" s="74" t="n"/>
      <x:c r="C327" s="56" t="n"/>
      <x:c r="D327" s="58" t="n"/>
      <x:c r="E327" s="56" t="n"/>
      <x:c r="F327" s="56" t="n"/>
      <x:c r="G327" s="56" t="n"/>
      <x:c r="H327" s="56" t="n"/>
      <x:c r="I327" s="56" t="n"/>
      <x:c r="J327" s="56" t="n"/>
      <x:c r="K327" s="56" t="n"/>
      <x:c r="L327" s="58" t="str">
        <x:f>IF(B327="","",173.33)</x:f>
      </x:c>
      <x:c r="M327" s="58" t="str">
        <x:f>IF(OR(D327="",L327=""),"",D327/L327)</x:f>
      </x:c>
      <x:c r="N327" s="76" t="n"/>
      <x:c r="O327" s="76" t="str">
        <x:f>IF(OR(M327="",N327=""),"",M327*N327)</x:f>
      </x:c>
      <x:c r="P327" s="76" t="str">
        <x:f>IF(B327="","",6732)</x:f>
      </x:c>
      <x:c r="Q327" s="76" t="str">
        <x:f>IF(OR(D327="",P327=""),"",D327*P327)</x:f>
      </x:c>
      <x:c r="R327" s="56" t="n"/>
      <x:c r="S327" s="56" t="n"/>
      <x:c r="T327" s="74" t="n"/>
      <x:c r="U327" s="56" t="n"/>
    </x:row>
    <x:row r="328">
      <x:c r="A328" s="61" t="str">
        <x:f>IF(B328="","","TL-"&amp;TEXT(ROW()-4,"0000"))</x:f>
      </x:c>
      <x:c r="B328" s="79" t="n"/>
      <x:c r="C328" s="61" t="n"/>
      <x:c r="D328" s="63" t="n"/>
      <x:c r="E328" s="61" t="n"/>
      <x:c r="F328" s="61" t="n"/>
      <x:c r="G328" s="61" t="n"/>
      <x:c r="H328" s="61" t="n"/>
      <x:c r="I328" s="61" t="n"/>
      <x:c r="J328" s="61" t="n"/>
      <x:c r="K328" s="61" t="n"/>
      <x:c r="L328" s="63" t="str">
        <x:f>IF(B328="","",173.33)</x:f>
      </x:c>
      <x:c r="M328" s="63" t="str">
        <x:f>IF(OR(D328="",L328=""),"",D328/L328)</x:f>
      </x:c>
      <x:c r="N328" s="82" t="n"/>
      <x:c r="O328" s="82" t="str">
        <x:f>IF(OR(M328="",N328=""),"",M328*N328)</x:f>
      </x:c>
      <x:c r="P328" s="82" t="str">
        <x:f>IF(B328="","",6732)</x:f>
      </x:c>
      <x:c r="Q328" s="82" t="str">
        <x:f>IF(OR(D328="",P328=""),"",D328*P328)</x:f>
      </x:c>
      <x:c r="R328" s="61" t="n"/>
      <x:c r="S328" s="61" t="n"/>
      <x:c r="T328" s="79" t="n"/>
      <x:c r="U328" s="61" t="n"/>
    </x:row>
    <x:row r="329">
      <x:c r="A329" s="56" t="str">
        <x:f>IF(B329="","","TL-"&amp;TEXT(ROW()-4,"0000"))</x:f>
      </x:c>
      <x:c r="B329" s="74" t="n"/>
      <x:c r="C329" s="56" t="n"/>
      <x:c r="D329" s="58" t="n"/>
      <x:c r="E329" s="56" t="n"/>
      <x:c r="F329" s="56" t="n"/>
      <x:c r="G329" s="56" t="n"/>
      <x:c r="H329" s="56" t="n"/>
      <x:c r="I329" s="56" t="n"/>
      <x:c r="J329" s="56" t="n"/>
      <x:c r="K329" s="56" t="n"/>
      <x:c r="L329" s="58" t="str">
        <x:f>IF(B329="","",173.33)</x:f>
      </x:c>
      <x:c r="M329" s="58" t="str">
        <x:f>IF(OR(D329="",L329=""),"",D329/L329)</x:f>
      </x:c>
      <x:c r="N329" s="76" t="n"/>
      <x:c r="O329" s="76" t="str">
        <x:f>IF(OR(M329="",N329=""),"",M329*N329)</x:f>
      </x:c>
      <x:c r="P329" s="76" t="str">
        <x:f>IF(B329="","",6732)</x:f>
      </x:c>
      <x:c r="Q329" s="76" t="str">
        <x:f>IF(OR(D329="",P329=""),"",D329*P329)</x:f>
      </x:c>
      <x:c r="R329" s="56" t="n"/>
      <x:c r="S329" s="56" t="n"/>
      <x:c r="T329" s="74" t="n"/>
      <x:c r="U329" s="56" t="n"/>
    </x:row>
    <x:row r="330">
      <x:c r="A330" s="61" t="str">
        <x:f>IF(B330="","","TL-"&amp;TEXT(ROW()-4,"0000"))</x:f>
      </x:c>
      <x:c r="B330" s="79" t="n"/>
      <x:c r="C330" s="61" t="n"/>
      <x:c r="D330" s="63" t="n"/>
      <x:c r="E330" s="61" t="n"/>
      <x:c r="F330" s="61" t="n"/>
      <x:c r="G330" s="61" t="n"/>
      <x:c r="H330" s="61" t="n"/>
      <x:c r="I330" s="61" t="n"/>
      <x:c r="J330" s="61" t="n"/>
      <x:c r="K330" s="61" t="n"/>
      <x:c r="L330" s="63" t="str">
        <x:f>IF(B330="","",173.33)</x:f>
      </x:c>
      <x:c r="M330" s="63" t="str">
        <x:f>IF(OR(D330="",L330=""),"",D330/L330)</x:f>
      </x:c>
      <x:c r="N330" s="82" t="n"/>
      <x:c r="O330" s="82" t="str">
        <x:f>IF(OR(M330="",N330=""),"",M330*N330)</x:f>
      </x:c>
      <x:c r="P330" s="82" t="str">
        <x:f>IF(B330="","",6732)</x:f>
      </x:c>
      <x:c r="Q330" s="82" t="str">
        <x:f>IF(OR(D330="",P330=""),"",D330*P330)</x:f>
      </x:c>
      <x:c r="R330" s="61" t="n"/>
      <x:c r="S330" s="61" t="n"/>
      <x:c r="T330" s="79" t="n"/>
      <x:c r="U330" s="61" t="n"/>
    </x:row>
    <x:row r="331">
      <x:c r="A331" s="56" t="str">
        <x:f>IF(B331="","","TL-"&amp;TEXT(ROW()-4,"0000"))</x:f>
      </x:c>
      <x:c r="B331" s="74" t="n"/>
      <x:c r="C331" s="56" t="n"/>
      <x:c r="D331" s="58" t="n"/>
      <x:c r="E331" s="56" t="n"/>
      <x:c r="F331" s="56" t="n"/>
      <x:c r="G331" s="56" t="n"/>
      <x:c r="H331" s="56" t="n"/>
      <x:c r="I331" s="56" t="n"/>
      <x:c r="J331" s="56" t="n"/>
      <x:c r="K331" s="56" t="n"/>
      <x:c r="L331" s="58" t="str">
        <x:f>IF(B331="","",173.33)</x:f>
      </x:c>
      <x:c r="M331" s="58" t="str">
        <x:f>IF(OR(D331="",L331=""),"",D331/L331)</x:f>
      </x:c>
      <x:c r="N331" s="76" t="n"/>
      <x:c r="O331" s="76" t="str">
        <x:f>IF(OR(M331="",N331=""),"",M331*N331)</x:f>
      </x:c>
      <x:c r="P331" s="76" t="str">
        <x:f>IF(B331="","",6732)</x:f>
      </x:c>
      <x:c r="Q331" s="76" t="str">
        <x:f>IF(OR(D331="",P331=""),"",D331*P331)</x:f>
      </x:c>
      <x:c r="R331" s="56" t="n"/>
      <x:c r="S331" s="56" t="n"/>
      <x:c r="T331" s="74" t="n"/>
      <x:c r="U331" s="56" t="n"/>
    </x:row>
    <x:row r="332">
      <x:c r="A332" s="61" t="str">
        <x:f>IF(B332="","","TL-"&amp;TEXT(ROW()-4,"0000"))</x:f>
      </x:c>
      <x:c r="B332" s="79" t="n"/>
      <x:c r="C332" s="61" t="n"/>
      <x:c r="D332" s="63" t="n"/>
      <x:c r="E332" s="61" t="n"/>
      <x:c r="F332" s="61" t="n"/>
      <x:c r="G332" s="61" t="n"/>
      <x:c r="H332" s="61" t="n"/>
      <x:c r="I332" s="61" t="n"/>
      <x:c r="J332" s="61" t="n"/>
      <x:c r="K332" s="61" t="n"/>
      <x:c r="L332" s="63" t="str">
        <x:f>IF(B332="","",173.33)</x:f>
      </x:c>
      <x:c r="M332" s="63" t="str">
        <x:f>IF(OR(D332="",L332=""),"",D332/L332)</x:f>
      </x:c>
      <x:c r="N332" s="82" t="n"/>
      <x:c r="O332" s="82" t="str">
        <x:f>IF(OR(M332="",N332=""),"",M332*N332)</x:f>
      </x:c>
      <x:c r="P332" s="82" t="str">
        <x:f>IF(B332="","",6732)</x:f>
      </x:c>
      <x:c r="Q332" s="82" t="str">
        <x:f>IF(OR(D332="",P332=""),"",D332*P332)</x:f>
      </x:c>
      <x:c r="R332" s="61" t="n"/>
      <x:c r="S332" s="61" t="n"/>
      <x:c r="T332" s="79" t="n"/>
      <x:c r="U332" s="61" t="n"/>
    </x:row>
    <x:row r="333">
      <x:c r="A333" s="56" t="str">
        <x:f>IF(B333="","","TL-"&amp;TEXT(ROW()-4,"0000"))</x:f>
      </x:c>
      <x:c r="B333" s="74" t="n"/>
      <x:c r="C333" s="56" t="n"/>
      <x:c r="D333" s="58" t="n"/>
      <x:c r="E333" s="56" t="n"/>
      <x:c r="F333" s="56" t="n"/>
      <x:c r="G333" s="56" t="n"/>
      <x:c r="H333" s="56" t="n"/>
      <x:c r="I333" s="56" t="n"/>
      <x:c r="J333" s="56" t="n"/>
      <x:c r="K333" s="56" t="n"/>
      <x:c r="L333" s="58" t="str">
        <x:f>IF(B333="","",173.33)</x:f>
      </x:c>
      <x:c r="M333" s="58" t="str">
        <x:f>IF(OR(D333="",L333=""),"",D333/L333)</x:f>
      </x:c>
      <x:c r="N333" s="76" t="n"/>
      <x:c r="O333" s="76" t="str">
        <x:f>IF(OR(M333="",N333=""),"",M333*N333)</x:f>
      </x:c>
      <x:c r="P333" s="76" t="str">
        <x:f>IF(B333="","",6732)</x:f>
      </x:c>
      <x:c r="Q333" s="76" t="str">
        <x:f>IF(OR(D333="",P333=""),"",D333*P333)</x:f>
      </x:c>
      <x:c r="R333" s="56" t="n"/>
      <x:c r="S333" s="56" t="n"/>
      <x:c r="T333" s="74" t="n"/>
      <x:c r="U333" s="56" t="n"/>
    </x:row>
    <x:row r="334">
      <x:c r="A334" s="61" t="str">
        <x:f>IF(B334="","","TL-"&amp;TEXT(ROW()-4,"0000"))</x:f>
      </x:c>
      <x:c r="B334" s="79" t="n"/>
      <x:c r="C334" s="61" t="n"/>
      <x:c r="D334" s="63" t="n"/>
      <x:c r="E334" s="61" t="n"/>
      <x:c r="F334" s="61" t="n"/>
      <x:c r="G334" s="61" t="n"/>
      <x:c r="H334" s="61" t="n"/>
      <x:c r="I334" s="61" t="n"/>
      <x:c r="J334" s="61" t="n"/>
      <x:c r="K334" s="61" t="n"/>
      <x:c r="L334" s="63" t="str">
        <x:f>IF(B334="","",173.33)</x:f>
      </x:c>
      <x:c r="M334" s="63" t="str">
        <x:f>IF(OR(D334="",L334=""),"",D334/L334)</x:f>
      </x:c>
      <x:c r="N334" s="82" t="n"/>
      <x:c r="O334" s="82" t="str">
        <x:f>IF(OR(M334="",N334=""),"",M334*N334)</x:f>
      </x:c>
      <x:c r="P334" s="82" t="str">
        <x:f>IF(B334="","",6732)</x:f>
      </x:c>
      <x:c r="Q334" s="82" t="str">
        <x:f>IF(OR(D334="",P334=""),"",D334*P334)</x:f>
      </x:c>
      <x:c r="R334" s="61" t="n"/>
      <x:c r="S334" s="61" t="n"/>
      <x:c r="T334" s="79" t="n"/>
      <x:c r="U334" s="61" t="n"/>
    </x:row>
    <x:row r="335">
      <x:c r="A335" s="56" t="str">
        <x:f>IF(B335="","","TL-"&amp;TEXT(ROW()-4,"0000"))</x:f>
      </x:c>
      <x:c r="B335" s="74" t="n"/>
      <x:c r="C335" s="56" t="n"/>
      <x:c r="D335" s="58" t="n"/>
      <x:c r="E335" s="56" t="n"/>
      <x:c r="F335" s="56" t="n"/>
      <x:c r="G335" s="56" t="n"/>
      <x:c r="H335" s="56" t="n"/>
      <x:c r="I335" s="56" t="n"/>
      <x:c r="J335" s="56" t="n"/>
      <x:c r="K335" s="56" t="n"/>
      <x:c r="L335" s="58" t="str">
        <x:f>IF(B335="","",173.33)</x:f>
      </x:c>
      <x:c r="M335" s="58" t="str">
        <x:f>IF(OR(D335="",L335=""),"",D335/L335)</x:f>
      </x:c>
      <x:c r="N335" s="76" t="n"/>
      <x:c r="O335" s="76" t="str">
        <x:f>IF(OR(M335="",N335=""),"",M335*N335)</x:f>
      </x:c>
      <x:c r="P335" s="76" t="str">
        <x:f>IF(B335="","",6732)</x:f>
      </x:c>
      <x:c r="Q335" s="76" t="str">
        <x:f>IF(OR(D335="",P335=""),"",D335*P335)</x:f>
      </x:c>
      <x:c r="R335" s="56" t="n"/>
      <x:c r="S335" s="56" t="n"/>
      <x:c r="T335" s="74" t="n"/>
      <x:c r="U335" s="56" t="n"/>
    </x:row>
    <x:row r="336">
      <x:c r="A336" s="61" t="str">
        <x:f>IF(B336="","","TL-"&amp;TEXT(ROW()-4,"0000"))</x:f>
      </x:c>
      <x:c r="B336" s="79" t="n"/>
      <x:c r="C336" s="61" t="n"/>
      <x:c r="D336" s="63" t="n"/>
      <x:c r="E336" s="61" t="n"/>
      <x:c r="F336" s="61" t="n"/>
      <x:c r="G336" s="61" t="n"/>
      <x:c r="H336" s="61" t="n"/>
      <x:c r="I336" s="61" t="n"/>
      <x:c r="J336" s="61" t="n"/>
      <x:c r="K336" s="61" t="n"/>
      <x:c r="L336" s="63" t="str">
        <x:f>IF(B336="","",173.33)</x:f>
      </x:c>
      <x:c r="M336" s="63" t="str">
        <x:f>IF(OR(D336="",L336=""),"",D336/L336)</x:f>
      </x:c>
      <x:c r="N336" s="82" t="n"/>
      <x:c r="O336" s="82" t="str">
        <x:f>IF(OR(M336="",N336=""),"",M336*N336)</x:f>
      </x:c>
      <x:c r="P336" s="82" t="str">
        <x:f>IF(B336="","",6732)</x:f>
      </x:c>
      <x:c r="Q336" s="82" t="str">
        <x:f>IF(OR(D336="",P336=""),"",D336*P336)</x:f>
      </x:c>
      <x:c r="R336" s="61" t="n"/>
      <x:c r="S336" s="61" t="n"/>
      <x:c r="T336" s="79" t="n"/>
      <x:c r="U336" s="61" t="n"/>
    </x:row>
    <x:row r="337">
      <x:c r="A337" s="56" t="str">
        <x:f>IF(B337="","","TL-"&amp;TEXT(ROW()-4,"0000"))</x:f>
      </x:c>
      <x:c r="B337" s="74" t="n"/>
      <x:c r="C337" s="56" t="n"/>
      <x:c r="D337" s="58" t="n"/>
      <x:c r="E337" s="56" t="n"/>
      <x:c r="F337" s="56" t="n"/>
      <x:c r="G337" s="56" t="n"/>
      <x:c r="H337" s="56" t="n"/>
      <x:c r="I337" s="56" t="n"/>
      <x:c r="J337" s="56" t="n"/>
      <x:c r="K337" s="56" t="n"/>
      <x:c r="L337" s="58" t="str">
        <x:f>IF(B337="","",173.33)</x:f>
      </x:c>
      <x:c r="M337" s="58" t="str">
        <x:f>IF(OR(D337="",L337=""),"",D337/L337)</x:f>
      </x:c>
      <x:c r="N337" s="76" t="n"/>
      <x:c r="O337" s="76" t="str">
        <x:f>IF(OR(M337="",N337=""),"",M337*N337)</x:f>
      </x:c>
      <x:c r="P337" s="76" t="str">
        <x:f>IF(B337="","",6732)</x:f>
      </x:c>
      <x:c r="Q337" s="76" t="str">
        <x:f>IF(OR(D337="",P337=""),"",D337*P337)</x:f>
      </x:c>
      <x:c r="R337" s="56" t="n"/>
      <x:c r="S337" s="56" t="n"/>
      <x:c r="T337" s="74" t="n"/>
      <x:c r="U337" s="56" t="n"/>
    </x:row>
    <x:row r="338">
      <x:c r="A338" s="61" t="str">
        <x:f>IF(B338="","","TL-"&amp;TEXT(ROW()-4,"0000"))</x:f>
      </x:c>
      <x:c r="B338" s="79" t="n"/>
      <x:c r="C338" s="61" t="n"/>
      <x:c r="D338" s="63" t="n"/>
      <x:c r="E338" s="61" t="n"/>
      <x:c r="F338" s="61" t="n"/>
      <x:c r="G338" s="61" t="n"/>
      <x:c r="H338" s="61" t="n"/>
      <x:c r="I338" s="61" t="n"/>
      <x:c r="J338" s="61" t="n"/>
      <x:c r="K338" s="61" t="n"/>
      <x:c r="L338" s="63" t="str">
        <x:f>IF(B338="","",173.33)</x:f>
      </x:c>
      <x:c r="M338" s="63" t="str">
        <x:f>IF(OR(D338="",L338=""),"",D338/L338)</x:f>
      </x:c>
      <x:c r="N338" s="82" t="n"/>
      <x:c r="O338" s="82" t="str">
        <x:f>IF(OR(M338="",N338=""),"",M338*N338)</x:f>
      </x:c>
      <x:c r="P338" s="82" t="str">
        <x:f>IF(B338="","",6732)</x:f>
      </x:c>
      <x:c r="Q338" s="82" t="str">
        <x:f>IF(OR(D338="",P338=""),"",D338*P338)</x:f>
      </x:c>
      <x:c r="R338" s="61" t="n"/>
      <x:c r="S338" s="61" t="n"/>
      <x:c r="T338" s="79" t="n"/>
      <x:c r="U338" s="61" t="n"/>
    </x:row>
    <x:row r="339">
      <x:c r="A339" s="56" t="str">
        <x:f>IF(B339="","","TL-"&amp;TEXT(ROW()-4,"0000"))</x:f>
      </x:c>
      <x:c r="B339" s="74" t="n"/>
      <x:c r="C339" s="56" t="n"/>
      <x:c r="D339" s="58" t="n"/>
      <x:c r="E339" s="56" t="n"/>
      <x:c r="F339" s="56" t="n"/>
      <x:c r="G339" s="56" t="n"/>
      <x:c r="H339" s="56" t="n"/>
      <x:c r="I339" s="56" t="n"/>
      <x:c r="J339" s="56" t="n"/>
      <x:c r="K339" s="56" t="n"/>
      <x:c r="L339" s="58" t="str">
        <x:f>IF(B339="","",173.33)</x:f>
      </x:c>
      <x:c r="M339" s="58" t="str">
        <x:f>IF(OR(D339="",L339=""),"",D339/L339)</x:f>
      </x:c>
      <x:c r="N339" s="76" t="n"/>
      <x:c r="O339" s="76" t="str">
        <x:f>IF(OR(M339="",N339=""),"",M339*N339)</x:f>
      </x:c>
      <x:c r="P339" s="76" t="str">
        <x:f>IF(B339="","",6732)</x:f>
      </x:c>
      <x:c r="Q339" s="76" t="str">
        <x:f>IF(OR(D339="",P339=""),"",D339*P339)</x:f>
      </x:c>
      <x:c r="R339" s="56" t="n"/>
      <x:c r="S339" s="56" t="n"/>
      <x:c r="T339" s="74" t="n"/>
      <x:c r="U339" s="56" t="n"/>
    </x:row>
    <x:row r="340">
      <x:c r="A340" s="61" t="str">
        <x:f>IF(B340="","","TL-"&amp;TEXT(ROW()-4,"0000"))</x:f>
      </x:c>
      <x:c r="B340" s="79" t="n"/>
      <x:c r="C340" s="61" t="n"/>
      <x:c r="D340" s="63" t="n"/>
      <x:c r="E340" s="61" t="n"/>
      <x:c r="F340" s="61" t="n"/>
      <x:c r="G340" s="61" t="n"/>
      <x:c r="H340" s="61" t="n"/>
      <x:c r="I340" s="61" t="n"/>
      <x:c r="J340" s="61" t="n"/>
      <x:c r="K340" s="61" t="n"/>
      <x:c r="L340" s="63" t="str">
        <x:f>IF(B340="","",173.33)</x:f>
      </x:c>
      <x:c r="M340" s="63" t="str">
        <x:f>IF(OR(D340="",L340=""),"",D340/L340)</x:f>
      </x:c>
      <x:c r="N340" s="82" t="n"/>
      <x:c r="O340" s="82" t="str">
        <x:f>IF(OR(M340="",N340=""),"",M340*N340)</x:f>
      </x:c>
      <x:c r="P340" s="82" t="str">
        <x:f>IF(B340="","",6732)</x:f>
      </x:c>
      <x:c r="Q340" s="82" t="str">
        <x:f>IF(OR(D340="",P340=""),"",D340*P340)</x:f>
      </x:c>
      <x:c r="R340" s="61" t="n"/>
      <x:c r="S340" s="61" t="n"/>
      <x:c r="T340" s="79" t="n"/>
      <x:c r="U340" s="61" t="n"/>
    </x:row>
    <x:row r="341">
      <x:c r="A341" s="56" t="str">
        <x:f>IF(B341="","","TL-"&amp;TEXT(ROW()-4,"0000"))</x:f>
      </x:c>
      <x:c r="B341" s="74" t="n"/>
      <x:c r="C341" s="56" t="n"/>
      <x:c r="D341" s="58" t="n"/>
      <x:c r="E341" s="56" t="n"/>
      <x:c r="F341" s="56" t="n"/>
      <x:c r="G341" s="56" t="n"/>
      <x:c r="H341" s="56" t="n"/>
      <x:c r="I341" s="56" t="n"/>
      <x:c r="J341" s="56" t="n"/>
      <x:c r="K341" s="56" t="n"/>
      <x:c r="L341" s="58" t="str">
        <x:f>IF(B341="","",173.33)</x:f>
      </x:c>
      <x:c r="M341" s="58" t="str">
        <x:f>IF(OR(D341="",L341=""),"",D341/L341)</x:f>
      </x:c>
      <x:c r="N341" s="76" t="n"/>
      <x:c r="O341" s="76" t="str">
        <x:f>IF(OR(M341="",N341=""),"",M341*N341)</x:f>
      </x:c>
      <x:c r="P341" s="76" t="str">
        <x:f>IF(B341="","",6732)</x:f>
      </x:c>
      <x:c r="Q341" s="76" t="str">
        <x:f>IF(OR(D341="",P341=""),"",D341*P341)</x:f>
      </x:c>
      <x:c r="R341" s="56" t="n"/>
      <x:c r="S341" s="56" t="n"/>
      <x:c r="T341" s="74" t="n"/>
      <x:c r="U341" s="56" t="n"/>
    </x:row>
    <x:row r="342">
      <x:c r="A342" s="61" t="str">
        <x:f>IF(B342="","","TL-"&amp;TEXT(ROW()-4,"0000"))</x:f>
      </x:c>
      <x:c r="B342" s="79" t="n"/>
      <x:c r="C342" s="61" t="n"/>
      <x:c r="D342" s="63" t="n"/>
      <x:c r="E342" s="61" t="n"/>
      <x:c r="F342" s="61" t="n"/>
      <x:c r="G342" s="61" t="n"/>
      <x:c r="H342" s="61" t="n"/>
      <x:c r="I342" s="61" t="n"/>
      <x:c r="J342" s="61" t="n"/>
      <x:c r="K342" s="61" t="n"/>
      <x:c r="L342" s="63" t="str">
        <x:f>IF(B342="","",173.33)</x:f>
      </x:c>
      <x:c r="M342" s="63" t="str">
        <x:f>IF(OR(D342="",L342=""),"",D342/L342)</x:f>
      </x:c>
      <x:c r="N342" s="82" t="n"/>
      <x:c r="O342" s="82" t="str">
        <x:f>IF(OR(M342="",N342=""),"",M342*N342)</x:f>
      </x:c>
      <x:c r="P342" s="82" t="str">
        <x:f>IF(B342="","",6732)</x:f>
      </x:c>
      <x:c r="Q342" s="82" t="str">
        <x:f>IF(OR(D342="",P342=""),"",D342*P342)</x:f>
      </x:c>
      <x:c r="R342" s="61" t="n"/>
      <x:c r="S342" s="61" t="n"/>
      <x:c r="T342" s="79" t="n"/>
      <x:c r="U342" s="61" t="n"/>
    </x:row>
    <x:row r="343">
      <x:c r="A343" s="56" t="str">
        <x:f>IF(B343="","","TL-"&amp;TEXT(ROW()-4,"0000"))</x:f>
      </x:c>
      <x:c r="B343" s="74" t="n"/>
      <x:c r="C343" s="56" t="n"/>
      <x:c r="D343" s="58" t="n"/>
      <x:c r="E343" s="56" t="n"/>
      <x:c r="F343" s="56" t="n"/>
      <x:c r="G343" s="56" t="n"/>
      <x:c r="H343" s="56" t="n"/>
      <x:c r="I343" s="56" t="n"/>
      <x:c r="J343" s="56" t="n"/>
      <x:c r="K343" s="56" t="n"/>
      <x:c r="L343" s="58" t="str">
        <x:f>IF(B343="","",173.33)</x:f>
      </x:c>
      <x:c r="M343" s="58" t="str">
        <x:f>IF(OR(D343="",L343=""),"",D343/L343)</x:f>
      </x:c>
      <x:c r="N343" s="76" t="n"/>
      <x:c r="O343" s="76" t="str">
        <x:f>IF(OR(M343="",N343=""),"",M343*N343)</x:f>
      </x:c>
      <x:c r="P343" s="76" t="str">
        <x:f>IF(B343="","",6732)</x:f>
      </x:c>
      <x:c r="Q343" s="76" t="str">
        <x:f>IF(OR(D343="",P343=""),"",D343*P343)</x:f>
      </x:c>
      <x:c r="R343" s="56" t="n"/>
      <x:c r="S343" s="56" t="n"/>
      <x:c r="T343" s="74" t="n"/>
      <x:c r="U343" s="56" t="n"/>
    </x:row>
    <x:row r="344">
      <x:c r="A344" s="61" t="str">
        <x:f>IF(B344="","","TL-"&amp;TEXT(ROW()-4,"0000"))</x:f>
      </x:c>
      <x:c r="B344" s="79" t="n"/>
      <x:c r="C344" s="61" t="n"/>
      <x:c r="D344" s="63" t="n"/>
      <x:c r="E344" s="61" t="n"/>
      <x:c r="F344" s="61" t="n"/>
      <x:c r="G344" s="61" t="n"/>
      <x:c r="H344" s="61" t="n"/>
      <x:c r="I344" s="61" t="n"/>
      <x:c r="J344" s="61" t="n"/>
      <x:c r="K344" s="61" t="n"/>
      <x:c r="L344" s="63" t="str">
        <x:f>IF(B344="","",173.33)</x:f>
      </x:c>
      <x:c r="M344" s="63" t="str">
        <x:f>IF(OR(D344="",L344=""),"",D344/L344)</x:f>
      </x:c>
      <x:c r="N344" s="82" t="n"/>
      <x:c r="O344" s="82" t="str">
        <x:f>IF(OR(M344="",N344=""),"",M344*N344)</x:f>
      </x:c>
      <x:c r="P344" s="82" t="str">
        <x:f>IF(B344="","",6732)</x:f>
      </x:c>
      <x:c r="Q344" s="82" t="str">
        <x:f>IF(OR(D344="",P344=""),"",D344*P344)</x:f>
      </x:c>
      <x:c r="R344" s="61" t="n"/>
      <x:c r="S344" s="61" t="n"/>
      <x:c r="T344" s="79" t="n"/>
      <x:c r="U344" s="61" t="n"/>
    </x:row>
    <x:row r="345">
      <x:c r="A345" s="56" t="str">
        <x:f>IF(B345="","","TL-"&amp;TEXT(ROW()-4,"0000"))</x:f>
      </x:c>
      <x:c r="B345" s="74" t="n"/>
      <x:c r="C345" s="56" t="n"/>
      <x:c r="D345" s="58" t="n"/>
      <x:c r="E345" s="56" t="n"/>
      <x:c r="F345" s="56" t="n"/>
      <x:c r="G345" s="56" t="n"/>
      <x:c r="H345" s="56" t="n"/>
      <x:c r="I345" s="56" t="n"/>
      <x:c r="J345" s="56" t="n"/>
      <x:c r="K345" s="56" t="n"/>
      <x:c r="L345" s="58" t="str">
        <x:f>IF(B345="","",173.33)</x:f>
      </x:c>
      <x:c r="M345" s="58" t="str">
        <x:f>IF(OR(D345="",L345=""),"",D345/L345)</x:f>
      </x:c>
      <x:c r="N345" s="76" t="n"/>
      <x:c r="O345" s="76" t="str">
        <x:f>IF(OR(M345="",N345=""),"",M345*N345)</x:f>
      </x:c>
      <x:c r="P345" s="76" t="str">
        <x:f>IF(B345="","",6732)</x:f>
      </x:c>
      <x:c r="Q345" s="76" t="str">
        <x:f>IF(OR(D345="",P345=""),"",D345*P345)</x:f>
      </x:c>
      <x:c r="R345" s="56" t="n"/>
      <x:c r="S345" s="56" t="n"/>
      <x:c r="T345" s="74" t="n"/>
      <x:c r="U345" s="56" t="n"/>
    </x:row>
    <x:row r="346">
      <x:c r="A346" s="61" t="str">
        <x:f>IF(B346="","","TL-"&amp;TEXT(ROW()-4,"0000"))</x:f>
      </x:c>
      <x:c r="B346" s="79" t="n"/>
      <x:c r="C346" s="61" t="n"/>
      <x:c r="D346" s="63" t="n"/>
      <x:c r="E346" s="61" t="n"/>
      <x:c r="F346" s="61" t="n"/>
      <x:c r="G346" s="61" t="n"/>
      <x:c r="H346" s="61" t="n"/>
      <x:c r="I346" s="61" t="n"/>
      <x:c r="J346" s="61" t="n"/>
      <x:c r="K346" s="61" t="n"/>
      <x:c r="L346" s="63" t="str">
        <x:f>IF(B346="","",173.33)</x:f>
      </x:c>
      <x:c r="M346" s="63" t="str">
        <x:f>IF(OR(D346="",L346=""),"",D346/L346)</x:f>
      </x:c>
      <x:c r="N346" s="82" t="n"/>
      <x:c r="O346" s="82" t="str">
        <x:f>IF(OR(M346="",N346=""),"",M346*N346)</x:f>
      </x:c>
      <x:c r="P346" s="82" t="str">
        <x:f>IF(B346="","",6732)</x:f>
      </x:c>
      <x:c r="Q346" s="82" t="str">
        <x:f>IF(OR(D346="",P346=""),"",D346*P346)</x:f>
      </x:c>
      <x:c r="R346" s="61" t="n"/>
      <x:c r="S346" s="61" t="n"/>
      <x:c r="T346" s="79" t="n"/>
      <x:c r="U346" s="61" t="n"/>
    </x:row>
    <x:row r="347">
      <x:c r="A347" s="56" t="str">
        <x:f>IF(B347="","","TL-"&amp;TEXT(ROW()-4,"0000"))</x:f>
      </x:c>
      <x:c r="B347" s="74" t="n"/>
      <x:c r="C347" s="56" t="n"/>
      <x:c r="D347" s="58" t="n"/>
      <x:c r="E347" s="56" t="n"/>
      <x:c r="F347" s="56" t="n"/>
      <x:c r="G347" s="56" t="n"/>
      <x:c r="H347" s="56" t="n"/>
      <x:c r="I347" s="56" t="n"/>
      <x:c r="J347" s="56" t="n"/>
      <x:c r="K347" s="56" t="n"/>
      <x:c r="L347" s="58" t="str">
        <x:f>IF(B347="","",173.33)</x:f>
      </x:c>
      <x:c r="M347" s="58" t="str">
        <x:f>IF(OR(D347="",L347=""),"",D347/L347)</x:f>
      </x:c>
      <x:c r="N347" s="76" t="n"/>
      <x:c r="O347" s="76" t="str">
        <x:f>IF(OR(M347="",N347=""),"",M347*N347)</x:f>
      </x:c>
      <x:c r="P347" s="76" t="str">
        <x:f>IF(B347="","",6732)</x:f>
      </x:c>
      <x:c r="Q347" s="76" t="str">
        <x:f>IF(OR(D347="",P347=""),"",D347*P347)</x:f>
      </x:c>
      <x:c r="R347" s="56" t="n"/>
      <x:c r="S347" s="56" t="n"/>
      <x:c r="T347" s="74" t="n"/>
      <x:c r="U347" s="56" t="n"/>
    </x:row>
    <x:row r="348">
      <x:c r="A348" s="61" t="str">
        <x:f>IF(B348="","","TL-"&amp;TEXT(ROW()-4,"0000"))</x:f>
      </x:c>
      <x:c r="B348" s="79" t="n"/>
      <x:c r="C348" s="61" t="n"/>
      <x:c r="D348" s="63" t="n"/>
      <x:c r="E348" s="61" t="n"/>
      <x:c r="F348" s="61" t="n"/>
      <x:c r="G348" s="61" t="n"/>
      <x:c r="H348" s="61" t="n"/>
      <x:c r="I348" s="61" t="n"/>
      <x:c r="J348" s="61" t="n"/>
      <x:c r="K348" s="61" t="n"/>
      <x:c r="L348" s="63" t="str">
        <x:f>IF(B348="","",173.33)</x:f>
      </x:c>
      <x:c r="M348" s="63" t="str">
        <x:f>IF(OR(D348="",L348=""),"",D348/L348)</x:f>
      </x:c>
      <x:c r="N348" s="82" t="n"/>
      <x:c r="O348" s="82" t="str">
        <x:f>IF(OR(M348="",N348=""),"",M348*N348)</x:f>
      </x:c>
      <x:c r="P348" s="82" t="str">
        <x:f>IF(B348="","",6732)</x:f>
      </x:c>
      <x:c r="Q348" s="82" t="str">
        <x:f>IF(OR(D348="",P348=""),"",D348*P348)</x:f>
      </x:c>
      <x:c r="R348" s="61" t="n"/>
      <x:c r="S348" s="61" t="n"/>
      <x:c r="T348" s="79" t="n"/>
      <x:c r="U348" s="61" t="n"/>
    </x:row>
    <x:row r="349">
      <x:c r="A349" s="56" t="str">
        <x:f>IF(B349="","","TL-"&amp;TEXT(ROW()-4,"0000"))</x:f>
      </x:c>
      <x:c r="B349" s="74" t="n"/>
      <x:c r="C349" s="56" t="n"/>
      <x:c r="D349" s="58" t="n"/>
      <x:c r="E349" s="56" t="n"/>
      <x:c r="F349" s="56" t="n"/>
      <x:c r="G349" s="56" t="n"/>
      <x:c r="H349" s="56" t="n"/>
      <x:c r="I349" s="56" t="n"/>
      <x:c r="J349" s="56" t="n"/>
      <x:c r="K349" s="56" t="n"/>
      <x:c r="L349" s="58" t="str">
        <x:f>IF(B349="","",173.33)</x:f>
      </x:c>
      <x:c r="M349" s="58" t="str">
        <x:f>IF(OR(D349="",L349=""),"",D349/L349)</x:f>
      </x:c>
      <x:c r="N349" s="76" t="n"/>
      <x:c r="O349" s="76" t="str">
        <x:f>IF(OR(M349="",N349=""),"",M349*N349)</x:f>
      </x:c>
      <x:c r="P349" s="76" t="str">
        <x:f>IF(B349="","",6732)</x:f>
      </x:c>
      <x:c r="Q349" s="76" t="str">
        <x:f>IF(OR(D349="",P349=""),"",D349*P349)</x:f>
      </x:c>
      <x:c r="R349" s="56" t="n"/>
      <x:c r="S349" s="56" t="n"/>
      <x:c r="T349" s="74" t="n"/>
      <x:c r="U349" s="56" t="n"/>
    </x:row>
    <x:row r="350">
      <x:c r="A350" s="61" t="str">
        <x:f>IF(B350="","","TL-"&amp;TEXT(ROW()-4,"0000"))</x:f>
      </x:c>
      <x:c r="B350" s="79" t="n"/>
      <x:c r="C350" s="61" t="n"/>
      <x:c r="D350" s="63" t="n"/>
      <x:c r="E350" s="61" t="n"/>
      <x:c r="F350" s="61" t="n"/>
      <x:c r="G350" s="61" t="n"/>
      <x:c r="H350" s="61" t="n"/>
      <x:c r="I350" s="61" t="n"/>
      <x:c r="J350" s="61" t="n"/>
      <x:c r="K350" s="61" t="n"/>
      <x:c r="L350" s="63" t="str">
        <x:f>IF(B350="","",173.33)</x:f>
      </x:c>
      <x:c r="M350" s="63" t="str">
        <x:f>IF(OR(D350="",L350=""),"",D350/L350)</x:f>
      </x:c>
      <x:c r="N350" s="82" t="n"/>
      <x:c r="O350" s="82" t="str">
        <x:f>IF(OR(M350="",N350=""),"",M350*N350)</x:f>
      </x:c>
      <x:c r="P350" s="82" t="str">
        <x:f>IF(B350="","",6732)</x:f>
      </x:c>
      <x:c r="Q350" s="82" t="str">
        <x:f>IF(OR(D350="",P350=""),"",D350*P350)</x:f>
      </x:c>
      <x:c r="R350" s="61" t="n"/>
      <x:c r="S350" s="61" t="n"/>
      <x:c r="T350" s="79" t="n"/>
      <x:c r="U350" s="61" t="n"/>
    </x:row>
    <x:row r="351">
      <x:c r="A351" s="56" t="str">
        <x:f>IF(B351="","","TL-"&amp;TEXT(ROW()-4,"0000"))</x:f>
      </x:c>
      <x:c r="B351" s="74" t="n"/>
      <x:c r="C351" s="56" t="n"/>
      <x:c r="D351" s="58" t="n"/>
      <x:c r="E351" s="56" t="n"/>
      <x:c r="F351" s="56" t="n"/>
      <x:c r="G351" s="56" t="n"/>
      <x:c r="H351" s="56" t="n"/>
      <x:c r="I351" s="56" t="n"/>
      <x:c r="J351" s="56" t="n"/>
      <x:c r="K351" s="56" t="n"/>
      <x:c r="L351" s="58" t="str">
        <x:f>IF(B351="","",173.33)</x:f>
      </x:c>
      <x:c r="M351" s="58" t="str">
        <x:f>IF(OR(D351="",L351=""),"",D351/L351)</x:f>
      </x:c>
      <x:c r="N351" s="76" t="n"/>
      <x:c r="O351" s="76" t="str">
        <x:f>IF(OR(M351="",N351=""),"",M351*N351)</x:f>
      </x:c>
      <x:c r="P351" s="76" t="str">
        <x:f>IF(B351="","",6732)</x:f>
      </x:c>
      <x:c r="Q351" s="76" t="str">
        <x:f>IF(OR(D351="",P351=""),"",D351*P351)</x:f>
      </x:c>
      <x:c r="R351" s="56" t="n"/>
      <x:c r="S351" s="56" t="n"/>
      <x:c r="T351" s="74" t="n"/>
      <x:c r="U351" s="56" t="n"/>
    </x:row>
    <x:row r="352">
      <x:c r="A352" s="61" t="str">
        <x:f>IF(B352="","","TL-"&amp;TEXT(ROW()-4,"0000"))</x:f>
      </x:c>
      <x:c r="B352" s="79" t="n"/>
      <x:c r="C352" s="61" t="n"/>
      <x:c r="D352" s="63" t="n"/>
      <x:c r="E352" s="61" t="n"/>
      <x:c r="F352" s="61" t="n"/>
      <x:c r="G352" s="61" t="n"/>
      <x:c r="H352" s="61" t="n"/>
      <x:c r="I352" s="61" t="n"/>
      <x:c r="J352" s="61" t="n"/>
      <x:c r="K352" s="61" t="n"/>
      <x:c r="L352" s="63" t="str">
        <x:f>IF(B352="","",173.33)</x:f>
      </x:c>
      <x:c r="M352" s="63" t="str">
        <x:f>IF(OR(D352="",L352=""),"",D352/L352)</x:f>
      </x:c>
      <x:c r="N352" s="82" t="n"/>
      <x:c r="O352" s="82" t="str">
        <x:f>IF(OR(M352="",N352=""),"",M352*N352)</x:f>
      </x:c>
      <x:c r="P352" s="82" t="str">
        <x:f>IF(B352="","",6732)</x:f>
      </x:c>
      <x:c r="Q352" s="82" t="str">
        <x:f>IF(OR(D352="",P352=""),"",D352*P352)</x:f>
      </x:c>
      <x:c r="R352" s="61" t="n"/>
      <x:c r="S352" s="61" t="n"/>
      <x:c r="T352" s="79" t="n"/>
      <x:c r="U352" s="61" t="n"/>
    </x:row>
    <x:row r="353">
      <x:c r="A353" s="56" t="str">
        <x:f>IF(B353="","","TL-"&amp;TEXT(ROW()-4,"0000"))</x:f>
      </x:c>
      <x:c r="B353" s="74" t="n"/>
      <x:c r="C353" s="56" t="n"/>
      <x:c r="D353" s="58" t="n"/>
      <x:c r="E353" s="56" t="n"/>
      <x:c r="F353" s="56" t="n"/>
      <x:c r="G353" s="56" t="n"/>
      <x:c r="H353" s="56" t="n"/>
      <x:c r="I353" s="56" t="n"/>
      <x:c r="J353" s="56" t="n"/>
      <x:c r="K353" s="56" t="n"/>
      <x:c r="L353" s="58" t="str">
        <x:f>IF(B353="","",173.33)</x:f>
      </x:c>
      <x:c r="M353" s="58" t="str">
        <x:f>IF(OR(D353="",L353=""),"",D353/L353)</x:f>
      </x:c>
      <x:c r="N353" s="76" t="n"/>
      <x:c r="O353" s="76" t="str">
        <x:f>IF(OR(M353="",N353=""),"",M353*N353)</x:f>
      </x:c>
      <x:c r="P353" s="76" t="str">
        <x:f>IF(B353="","",6732)</x:f>
      </x:c>
      <x:c r="Q353" s="76" t="str">
        <x:f>IF(OR(D353="",P353=""),"",D353*P353)</x:f>
      </x:c>
      <x:c r="R353" s="56" t="n"/>
      <x:c r="S353" s="56" t="n"/>
      <x:c r="T353" s="74" t="n"/>
      <x:c r="U353" s="56" t="n"/>
    </x:row>
    <x:row r="354">
      <x:c r="A354" s="61" t="str">
        <x:f>IF(B354="","","TL-"&amp;TEXT(ROW()-4,"0000"))</x:f>
      </x:c>
      <x:c r="B354" s="79" t="n"/>
      <x:c r="C354" s="61" t="n"/>
      <x:c r="D354" s="63" t="n"/>
      <x:c r="E354" s="61" t="n"/>
      <x:c r="F354" s="61" t="n"/>
      <x:c r="G354" s="61" t="n"/>
      <x:c r="H354" s="61" t="n"/>
      <x:c r="I354" s="61" t="n"/>
      <x:c r="J354" s="61" t="n"/>
      <x:c r="K354" s="61" t="n"/>
      <x:c r="L354" s="63" t="str">
        <x:f>IF(B354="","",173.33)</x:f>
      </x:c>
      <x:c r="M354" s="63" t="str">
        <x:f>IF(OR(D354="",L354=""),"",D354/L354)</x:f>
      </x:c>
      <x:c r="N354" s="82" t="n"/>
      <x:c r="O354" s="82" t="str">
        <x:f>IF(OR(M354="",N354=""),"",M354*N354)</x:f>
      </x:c>
      <x:c r="P354" s="82" t="str">
        <x:f>IF(B354="","",6732)</x:f>
      </x:c>
      <x:c r="Q354" s="82" t="str">
        <x:f>IF(OR(D354="",P354=""),"",D354*P354)</x:f>
      </x:c>
      <x:c r="R354" s="61" t="n"/>
      <x:c r="S354" s="61" t="n"/>
      <x:c r="T354" s="79" t="n"/>
      <x:c r="U354" s="61" t="n"/>
    </x:row>
    <x:row r="355">
      <x:c r="A355" s="56" t="str">
        <x:f>IF(B355="","","TL-"&amp;TEXT(ROW()-4,"0000"))</x:f>
      </x:c>
      <x:c r="B355" s="74" t="n"/>
      <x:c r="C355" s="56" t="n"/>
      <x:c r="D355" s="58" t="n"/>
      <x:c r="E355" s="56" t="n"/>
      <x:c r="F355" s="56" t="n"/>
      <x:c r="G355" s="56" t="n"/>
      <x:c r="H355" s="56" t="n"/>
      <x:c r="I355" s="56" t="n"/>
      <x:c r="J355" s="56" t="n"/>
      <x:c r="K355" s="56" t="n"/>
      <x:c r="L355" s="58" t="str">
        <x:f>IF(B355="","",173.33)</x:f>
      </x:c>
      <x:c r="M355" s="58" t="str">
        <x:f>IF(OR(D355="",L355=""),"",D355/L355)</x:f>
      </x:c>
      <x:c r="N355" s="76" t="n"/>
      <x:c r="O355" s="76" t="str">
        <x:f>IF(OR(M355="",N355=""),"",M355*N355)</x:f>
      </x:c>
      <x:c r="P355" s="76" t="str">
        <x:f>IF(B355="","",6732)</x:f>
      </x:c>
      <x:c r="Q355" s="76" t="str">
        <x:f>IF(OR(D355="",P355=""),"",D355*P355)</x:f>
      </x:c>
      <x:c r="R355" s="56" t="n"/>
      <x:c r="S355" s="56" t="n"/>
      <x:c r="T355" s="74" t="n"/>
      <x:c r="U355" s="56" t="n"/>
    </x:row>
    <x:row r="356">
      <x:c r="A356" s="61" t="str">
        <x:f>IF(B356="","","TL-"&amp;TEXT(ROW()-4,"0000"))</x:f>
      </x:c>
      <x:c r="B356" s="79" t="n"/>
      <x:c r="C356" s="61" t="n"/>
      <x:c r="D356" s="63" t="n"/>
      <x:c r="E356" s="61" t="n"/>
      <x:c r="F356" s="61" t="n"/>
      <x:c r="G356" s="61" t="n"/>
      <x:c r="H356" s="61" t="n"/>
      <x:c r="I356" s="61" t="n"/>
      <x:c r="J356" s="61" t="n"/>
      <x:c r="K356" s="61" t="n"/>
      <x:c r="L356" s="63" t="str">
        <x:f>IF(B356="","",173.33)</x:f>
      </x:c>
      <x:c r="M356" s="63" t="str">
        <x:f>IF(OR(D356="",L356=""),"",D356/L356)</x:f>
      </x:c>
      <x:c r="N356" s="82" t="n"/>
      <x:c r="O356" s="82" t="str">
        <x:f>IF(OR(M356="",N356=""),"",M356*N356)</x:f>
      </x:c>
      <x:c r="P356" s="82" t="str">
        <x:f>IF(B356="","",6732)</x:f>
      </x:c>
      <x:c r="Q356" s="82" t="str">
        <x:f>IF(OR(D356="",P356=""),"",D356*P356)</x:f>
      </x:c>
      <x:c r="R356" s="61" t="n"/>
      <x:c r="S356" s="61" t="n"/>
      <x:c r="T356" s="79" t="n"/>
      <x:c r="U356" s="61" t="n"/>
    </x:row>
    <x:row r="357">
      <x:c r="A357" s="56" t="str">
        <x:f>IF(B357="","","TL-"&amp;TEXT(ROW()-4,"0000"))</x:f>
      </x:c>
      <x:c r="B357" s="74" t="n"/>
      <x:c r="C357" s="56" t="n"/>
      <x:c r="D357" s="58" t="n"/>
      <x:c r="E357" s="56" t="n"/>
      <x:c r="F357" s="56" t="n"/>
      <x:c r="G357" s="56" t="n"/>
      <x:c r="H357" s="56" t="n"/>
      <x:c r="I357" s="56" t="n"/>
      <x:c r="J357" s="56" t="n"/>
      <x:c r="K357" s="56" t="n"/>
      <x:c r="L357" s="58" t="str">
        <x:f>IF(B357="","",173.33)</x:f>
      </x:c>
      <x:c r="M357" s="58" t="str">
        <x:f>IF(OR(D357="",L357=""),"",D357/L357)</x:f>
      </x:c>
      <x:c r="N357" s="76" t="n"/>
      <x:c r="O357" s="76" t="str">
        <x:f>IF(OR(M357="",N357=""),"",M357*N357)</x:f>
      </x:c>
      <x:c r="P357" s="76" t="str">
        <x:f>IF(B357="","",6732)</x:f>
      </x:c>
      <x:c r="Q357" s="76" t="str">
        <x:f>IF(OR(D357="",P357=""),"",D357*P357)</x:f>
      </x:c>
      <x:c r="R357" s="56" t="n"/>
      <x:c r="S357" s="56" t="n"/>
      <x:c r="T357" s="74" t="n"/>
      <x:c r="U357" s="56" t="n"/>
    </x:row>
    <x:row r="358">
      <x:c r="A358" s="61" t="str">
        <x:f>IF(B358="","","TL-"&amp;TEXT(ROW()-4,"0000"))</x:f>
      </x:c>
      <x:c r="B358" s="79" t="n"/>
      <x:c r="C358" s="61" t="n"/>
      <x:c r="D358" s="63" t="n"/>
      <x:c r="E358" s="61" t="n"/>
      <x:c r="F358" s="61" t="n"/>
      <x:c r="G358" s="61" t="n"/>
      <x:c r="H358" s="61" t="n"/>
      <x:c r="I358" s="61" t="n"/>
      <x:c r="J358" s="61" t="n"/>
      <x:c r="K358" s="61" t="n"/>
      <x:c r="L358" s="63" t="str">
        <x:f>IF(B358="","",173.33)</x:f>
      </x:c>
      <x:c r="M358" s="63" t="str">
        <x:f>IF(OR(D358="",L358=""),"",D358/L358)</x:f>
      </x:c>
      <x:c r="N358" s="82" t="n"/>
      <x:c r="O358" s="82" t="str">
        <x:f>IF(OR(M358="",N358=""),"",M358*N358)</x:f>
      </x:c>
      <x:c r="P358" s="82" t="str">
        <x:f>IF(B358="","",6732)</x:f>
      </x:c>
      <x:c r="Q358" s="82" t="str">
        <x:f>IF(OR(D358="",P358=""),"",D358*P358)</x:f>
      </x:c>
      <x:c r="R358" s="61" t="n"/>
      <x:c r="S358" s="61" t="n"/>
      <x:c r="T358" s="79" t="n"/>
      <x:c r="U358" s="61" t="n"/>
    </x:row>
    <x:row r="359">
      <x:c r="A359" s="56" t="str">
        <x:f>IF(B359="","","TL-"&amp;TEXT(ROW()-4,"0000"))</x:f>
      </x:c>
      <x:c r="B359" s="74" t="n"/>
      <x:c r="C359" s="56" t="n"/>
      <x:c r="D359" s="58" t="n"/>
      <x:c r="E359" s="56" t="n"/>
      <x:c r="F359" s="56" t="n"/>
      <x:c r="G359" s="56" t="n"/>
      <x:c r="H359" s="56" t="n"/>
      <x:c r="I359" s="56" t="n"/>
      <x:c r="J359" s="56" t="n"/>
      <x:c r="K359" s="56" t="n"/>
      <x:c r="L359" s="58" t="str">
        <x:f>IF(B359="","",173.33)</x:f>
      </x:c>
      <x:c r="M359" s="58" t="str">
        <x:f>IF(OR(D359="",L359=""),"",D359/L359)</x:f>
      </x:c>
      <x:c r="N359" s="76" t="n"/>
      <x:c r="O359" s="76" t="str">
        <x:f>IF(OR(M359="",N359=""),"",M359*N359)</x:f>
      </x:c>
      <x:c r="P359" s="76" t="str">
        <x:f>IF(B359="","",6732)</x:f>
      </x:c>
      <x:c r="Q359" s="76" t="str">
        <x:f>IF(OR(D359="",P359=""),"",D359*P359)</x:f>
      </x:c>
      <x:c r="R359" s="56" t="n"/>
      <x:c r="S359" s="56" t="n"/>
      <x:c r="T359" s="74" t="n"/>
      <x:c r="U359" s="56" t="n"/>
    </x:row>
    <x:row r="360">
      <x:c r="A360" s="61" t="str">
        <x:f>IF(B360="","","TL-"&amp;TEXT(ROW()-4,"0000"))</x:f>
      </x:c>
      <x:c r="B360" s="79" t="n"/>
      <x:c r="C360" s="61" t="n"/>
      <x:c r="D360" s="63" t="n"/>
      <x:c r="E360" s="61" t="n"/>
      <x:c r="F360" s="61" t="n"/>
      <x:c r="G360" s="61" t="n"/>
      <x:c r="H360" s="61" t="n"/>
      <x:c r="I360" s="61" t="n"/>
      <x:c r="J360" s="61" t="n"/>
      <x:c r="K360" s="61" t="n"/>
      <x:c r="L360" s="63" t="str">
        <x:f>IF(B360="","",173.33)</x:f>
      </x:c>
      <x:c r="M360" s="63" t="str">
        <x:f>IF(OR(D360="",L360=""),"",D360/L360)</x:f>
      </x:c>
      <x:c r="N360" s="82" t="n"/>
      <x:c r="O360" s="82" t="str">
        <x:f>IF(OR(M360="",N360=""),"",M360*N360)</x:f>
      </x:c>
      <x:c r="P360" s="82" t="str">
        <x:f>IF(B360="","",6732)</x:f>
      </x:c>
      <x:c r="Q360" s="82" t="str">
        <x:f>IF(OR(D360="",P360=""),"",D360*P360)</x:f>
      </x:c>
      <x:c r="R360" s="61" t="n"/>
      <x:c r="S360" s="61" t="n"/>
      <x:c r="T360" s="79" t="n"/>
      <x:c r="U360" s="61" t="n"/>
    </x:row>
    <x:row r="361">
      <x:c r="A361" s="56" t="str">
        <x:f>IF(B361="","","TL-"&amp;TEXT(ROW()-4,"0000"))</x:f>
      </x:c>
      <x:c r="B361" s="74" t="n"/>
      <x:c r="C361" s="56" t="n"/>
      <x:c r="D361" s="58" t="n"/>
      <x:c r="E361" s="56" t="n"/>
      <x:c r="F361" s="56" t="n"/>
      <x:c r="G361" s="56" t="n"/>
      <x:c r="H361" s="56" t="n"/>
      <x:c r="I361" s="56" t="n"/>
      <x:c r="J361" s="56" t="n"/>
      <x:c r="K361" s="56" t="n"/>
      <x:c r="L361" s="58" t="str">
        <x:f>IF(B361="","",173.33)</x:f>
      </x:c>
      <x:c r="M361" s="58" t="str">
        <x:f>IF(OR(D361="",L361=""),"",D361/L361)</x:f>
      </x:c>
      <x:c r="N361" s="76" t="n"/>
      <x:c r="O361" s="76" t="str">
        <x:f>IF(OR(M361="",N361=""),"",M361*N361)</x:f>
      </x:c>
      <x:c r="P361" s="76" t="str">
        <x:f>IF(B361="","",6732)</x:f>
      </x:c>
      <x:c r="Q361" s="76" t="str">
        <x:f>IF(OR(D361="",P361=""),"",D361*P361)</x:f>
      </x:c>
      <x:c r="R361" s="56" t="n"/>
      <x:c r="S361" s="56" t="n"/>
      <x:c r="T361" s="74" t="n"/>
      <x:c r="U361" s="56" t="n"/>
    </x:row>
    <x:row r="362">
      <x:c r="A362" s="61" t="str">
        <x:f>IF(B362="","","TL-"&amp;TEXT(ROW()-4,"0000"))</x:f>
      </x:c>
      <x:c r="B362" s="79" t="n"/>
      <x:c r="C362" s="61" t="n"/>
      <x:c r="D362" s="63" t="n"/>
      <x:c r="E362" s="61" t="n"/>
      <x:c r="F362" s="61" t="n"/>
      <x:c r="G362" s="61" t="n"/>
      <x:c r="H362" s="61" t="n"/>
      <x:c r="I362" s="61" t="n"/>
      <x:c r="J362" s="61" t="n"/>
      <x:c r="K362" s="61" t="n"/>
      <x:c r="L362" s="63" t="str">
        <x:f>IF(B362="","",173.33)</x:f>
      </x:c>
      <x:c r="M362" s="63" t="str">
        <x:f>IF(OR(D362="",L362=""),"",D362/L362)</x:f>
      </x:c>
      <x:c r="N362" s="82" t="n"/>
      <x:c r="O362" s="82" t="str">
        <x:f>IF(OR(M362="",N362=""),"",M362*N362)</x:f>
      </x:c>
      <x:c r="P362" s="82" t="str">
        <x:f>IF(B362="","",6732)</x:f>
      </x:c>
      <x:c r="Q362" s="82" t="str">
        <x:f>IF(OR(D362="",P362=""),"",D362*P362)</x:f>
      </x:c>
      <x:c r="R362" s="61" t="n"/>
      <x:c r="S362" s="61" t="n"/>
      <x:c r="T362" s="79" t="n"/>
      <x:c r="U362" s="61" t="n"/>
    </x:row>
    <x:row r="363">
      <x:c r="A363" s="56" t="str">
        <x:f>IF(B363="","","TL-"&amp;TEXT(ROW()-4,"0000"))</x:f>
      </x:c>
      <x:c r="B363" s="74" t="n"/>
      <x:c r="C363" s="56" t="n"/>
      <x:c r="D363" s="58" t="n"/>
      <x:c r="E363" s="56" t="n"/>
      <x:c r="F363" s="56" t="n"/>
      <x:c r="G363" s="56" t="n"/>
      <x:c r="H363" s="56" t="n"/>
      <x:c r="I363" s="56" t="n"/>
      <x:c r="J363" s="56" t="n"/>
      <x:c r="K363" s="56" t="n"/>
      <x:c r="L363" s="58" t="str">
        <x:f>IF(B363="","",173.33)</x:f>
      </x:c>
      <x:c r="M363" s="58" t="str">
        <x:f>IF(OR(D363="",L363=""),"",D363/L363)</x:f>
      </x:c>
      <x:c r="N363" s="76" t="n"/>
      <x:c r="O363" s="76" t="str">
        <x:f>IF(OR(M363="",N363=""),"",M363*N363)</x:f>
      </x:c>
      <x:c r="P363" s="76" t="str">
        <x:f>IF(B363="","",6732)</x:f>
      </x:c>
      <x:c r="Q363" s="76" t="str">
        <x:f>IF(OR(D363="",P363=""),"",D363*P363)</x:f>
      </x:c>
      <x:c r="R363" s="56" t="n"/>
      <x:c r="S363" s="56" t="n"/>
      <x:c r="T363" s="74" t="n"/>
      <x:c r="U363" s="56" t="n"/>
    </x:row>
    <x:row r="364">
      <x:c r="A364" s="61" t="str">
        <x:f>IF(B364="","","TL-"&amp;TEXT(ROW()-4,"0000"))</x:f>
      </x:c>
      <x:c r="B364" s="79" t="n"/>
      <x:c r="C364" s="61" t="n"/>
      <x:c r="D364" s="63" t="n"/>
      <x:c r="E364" s="61" t="n"/>
      <x:c r="F364" s="61" t="n"/>
      <x:c r="G364" s="61" t="n"/>
      <x:c r="H364" s="61" t="n"/>
      <x:c r="I364" s="61" t="n"/>
      <x:c r="J364" s="61" t="n"/>
      <x:c r="K364" s="61" t="n"/>
      <x:c r="L364" s="63" t="str">
        <x:f>IF(B364="","",173.33)</x:f>
      </x:c>
      <x:c r="M364" s="63" t="str">
        <x:f>IF(OR(D364="",L364=""),"",D364/L364)</x:f>
      </x:c>
      <x:c r="N364" s="82" t="n"/>
      <x:c r="O364" s="82" t="str">
        <x:f>IF(OR(M364="",N364=""),"",M364*N364)</x:f>
      </x:c>
      <x:c r="P364" s="82" t="str">
        <x:f>IF(B364="","",6732)</x:f>
      </x:c>
      <x:c r="Q364" s="82" t="str">
        <x:f>IF(OR(D364="",P364=""),"",D364*P364)</x:f>
      </x:c>
      <x:c r="R364" s="61" t="n"/>
      <x:c r="S364" s="61" t="n"/>
      <x:c r="T364" s="79" t="n"/>
      <x:c r="U364" s="61" t="n"/>
    </x:row>
    <x:row r="365">
      <x:c r="A365" s="56" t="str">
        <x:f>IF(B365="","","TL-"&amp;TEXT(ROW()-4,"0000"))</x:f>
      </x:c>
      <x:c r="B365" s="74" t="n"/>
      <x:c r="C365" s="56" t="n"/>
      <x:c r="D365" s="58" t="n"/>
      <x:c r="E365" s="56" t="n"/>
      <x:c r="F365" s="56" t="n"/>
      <x:c r="G365" s="56" t="n"/>
      <x:c r="H365" s="56" t="n"/>
      <x:c r="I365" s="56" t="n"/>
      <x:c r="J365" s="56" t="n"/>
      <x:c r="K365" s="56" t="n"/>
      <x:c r="L365" s="58" t="str">
        <x:f>IF(B365="","",173.33)</x:f>
      </x:c>
      <x:c r="M365" s="58" t="str">
        <x:f>IF(OR(D365="",L365=""),"",D365/L365)</x:f>
      </x:c>
      <x:c r="N365" s="76" t="n"/>
      <x:c r="O365" s="76" t="str">
        <x:f>IF(OR(M365="",N365=""),"",M365*N365)</x:f>
      </x:c>
      <x:c r="P365" s="76" t="str">
        <x:f>IF(B365="","",6732)</x:f>
      </x:c>
      <x:c r="Q365" s="76" t="str">
        <x:f>IF(OR(D365="",P365=""),"",D365*P365)</x:f>
      </x:c>
      <x:c r="R365" s="56" t="n"/>
      <x:c r="S365" s="56" t="n"/>
      <x:c r="T365" s="74" t="n"/>
      <x:c r="U365" s="56" t="n"/>
    </x:row>
    <x:row r="366">
      <x:c r="A366" s="61" t="str">
        <x:f>IF(B366="","","TL-"&amp;TEXT(ROW()-4,"0000"))</x:f>
      </x:c>
      <x:c r="B366" s="79" t="n"/>
      <x:c r="C366" s="61" t="n"/>
      <x:c r="D366" s="63" t="n"/>
      <x:c r="E366" s="61" t="n"/>
      <x:c r="F366" s="61" t="n"/>
      <x:c r="G366" s="61" t="n"/>
      <x:c r="H366" s="61" t="n"/>
      <x:c r="I366" s="61" t="n"/>
      <x:c r="J366" s="61" t="n"/>
      <x:c r="K366" s="61" t="n"/>
      <x:c r="L366" s="63" t="str">
        <x:f>IF(B366="","",173.33)</x:f>
      </x:c>
      <x:c r="M366" s="63" t="str">
        <x:f>IF(OR(D366="",L366=""),"",D366/L366)</x:f>
      </x:c>
      <x:c r="N366" s="82" t="n"/>
      <x:c r="O366" s="82" t="str">
        <x:f>IF(OR(M366="",N366=""),"",M366*N366)</x:f>
      </x:c>
      <x:c r="P366" s="82" t="str">
        <x:f>IF(B366="","",6732)</x:f>
      </x:c>
      <x:c r="Q366" s="82" t="str">
        <x:f>IF(OR(D366="",P366=""),"",D366*P366)</x:f>
      </x:c>
      <x:c r="R366" s="61" t="n"/>
      <x:c r="S366" s="61" t="n"/>
      <x:c r="T366" s="79" t="n"/>
      <x:c r="U366" s="61" t="n"/>
    </x:row>
    <x:row r="367">
      <x:c r="A367" s="56" t="str">
        <x:f>IF(B367="","","TL-"&amp;TEXT(ROW()-4,"0000"))</x:f>
      </x:c>
      <x:c r="B367" s="74" t="n"/>
      <x:c r="C367" s="56" t="n"/>
      <x:c r="D367" s="58" t="n"/>
      <x:c r="E367" s="56" t="n"/>
      <x:c r="F367" s="56" t="n"/>
      <x:c r="G367" s="56" t="n"/>
      <x:c r="H367" s="56" t="n"/>
      <x:c r="I367" s="56" t="n"/>
      <x:c r="J367" s="56" t="n"/>
      <x:c r="K367" s="56" t="n"/>
      <x:c r="L367" s="58" t="str">
        <x:f>IF(B367="","",173.33)</x:f>
      </x:c>
      <x:c r="M367" s="58" t="str">
        <x:f>IF(OR(D367="",L367=""),"",D367/L367)</x:f>
      </x:c>
      <x:c r="N367" s="76" t="n"/>
      <x:c r="O367" s="76" t="str">
        <x:f>IF(OR(M367="",N367=""),"",M367*N367)</x:f>
      </x:c>
      <x:c r="P367" s="76" t="str">
        <x:f>IF(B367="","",6732)</x:f>
      </x:c>
      <x:c r="Q367" s="76" t="str">
        <x:f>IF(OR(D367="",P367=""),"",D367*P367)</x:f>
      </x:c>
      <x:c r="R367" s="56" t="n"/>
      <x:c r="S367" s="56" t="n"/>
      <x:c r="T367" s="74" t="n"/>
      <x:c r="U367" s="56" t="n"/>
    </x:row>
    <x:row r="368">
      <x:c r="A368" s="61" t="str">
        <x:f>IF(B368="","","TL-"&amp;TEXT(ROW()-4,"0000"))</x:f>
      </x:c>
      <x:c r="B368" s="79" t="n"/>
      <x:c r="C368" s="61" t="n"/>
      <x:c r="D368" s="63" t="n"/>
      <x:c r="E368" s="61" t="n"/>
      <x:c r="F368" s="61" t="n"/>
      <x:c r="G368" s="61" t="n"/>
      <x:c r="H368" s="61" t="n"/>
      <x:c r="I368" s="61" t="n"/>
      <x:c r="J368" s="61" t="n"/>
      <x:c r="K368" s="61" t="n"/>
      <x:c r="L368" s="63" t="str">
        <x:f>IF(B368="","",173.33)</x:f>
      </x:c>
      <x:c r="M368" s="63" t="str">
        <x:f>IF(OR(D368="",L368=""),"",D368/L368)</x:f>
      </x:c>
      <x:c r="N368" s="82" t="n"/>
      <x:c r="O368" s="82" t="str">
        <x:f>IF(OR(M368="",N368=""),"",M368*N368)</x:f>
      </x:c>
      <x:c r="P368" s="82" t="str">
        <x:f>IF(B368="","",6732)</x:f>
      </x:c>
      <x:c r="Q368" s="82" t="str">
        <x:f>IF(OR(D368="",P368=""),"",D368*P368)</x:f>
      </x:c>
      <x:c r="R368" s="61" t="n"/>
      <x:c r="S368" s="61" t="n"/>
      <x:c r="T368" s="79" t="n"/>
      <x:c r="U368" s="61" t="n"/>
    </x:row>
    <x:row r="369">
      <x:c r="A369" s="56" t="str">
        <x:f>IF(B369="","","TL-"&amp;TEXT(ROW()-4,"0000"))</x:f>
      </x:c>
      <x:c r="B369" s="74" t="n"/>
      <x:c r="C369" s="56" t="n"/>
      <x:c r="D369" s="58" t="n"/>
      <x:c r="E369" s="56" t="n"/>
      <x:c r="F369" s="56" t="n"/>
      <x:c r="G369" s="56" t="n"/>
      <x:c r="H369" s="56" t="n"/>
      <x:c r="I369" s="56" t="n"/>
      <x:c r="J369" s="56" t="n"/>
      <x:c r="K369" s="56" t="n"/>
      <x:c r="L369" s="58" t="str">
        <x:f>IF(B369="","",173.33)</x:f>
      </x:c>
      <x:c r="M369" s="58" t="str">
        <x:f>IF(OR(D369="",L369=""),"",D369/L369)</x:f>
      </x:c>
      <x:c r="N369" s="76" t="n"/>
      <x:c r="O369" s="76" t="str">
        <x:f>IF(OR(M369="",N369=""),"",M369*N369)</x:f>
      </x:c>
      <x:c r="P369" s="76" t="str">
        <x:f>IF(B369="","",6732)</x:f>
      </x:c>
      <x:c r="Q369" s="76" t="str">
        <x:f>IF(OR(D369="",P369=""),"",D369*P369)</x:f>
      </x:c>
      <x:c r="R369" s="56" t="n"/>
      <x:c r="S369" s="56" t="n"/>
      <x:c r="T369" s="74" t="n"/>
      <x:c r="U369" s="56" t="n"/>
    </x:row>
    <x:row r="370">
      <x:c r="A370" s="61" t="str">
        <x:f>IF(B370="","","TL-"&amp;TEXT(ROW()-4,"0000"))</x:f>
      </x:c>
      <x:c r="B370" s="79" t="n"/>
      <x:c r="C370" s="61" t="n"/>
      <x:c r="D370" s="63" t="n"/>
      <x:c r="E370" s="61" t="n"/>
      <x:c r="F370" s="61" t="n"/>
      <x:c r="G370" s="61" t="n"/>
      <x:c r="H370" s="61" t="n"/>
      <x:c r="I370" s="61" t="n"/>
      <x:c r="J370" s="61" t="n"/>
      <x:c r="K370" s="61" t="n"/>
      <x:c r="L370" s="63" t="str">
        <x:f>IF(B370="","",173.33)</x:f>
      </x:c>
      <x:c r="M370" s="63" t="str">
        <x:f>IF(OR(D370="",L370=""),"",D370/L370)</x:f>
      </x:c>
      <x:c r="N370" s="82" t="n"/>
      <x:c r="O370" s="82" t="str">
        <x:f>IF(OR(M370="",N370=""),"",M370*N370)</x:f>
      </x:c>
      <x:c r="P370" s="82" t="str">
        <x:f>IF(B370="","",6732)</x:f>
      </x:c>
      <x:c r="Q370" s="82" t="str">
        <x:f>IF(OR(D370="",P370=""),"",D370*P370)</x:f>
      </x:c>
      <x:c r="R370" s="61" t="n"/>
      <x:c r="S370" s="61" t="n"/>
      <x:c r="T370" s="79" t="n"/>
      <x:c r="U370" s="61" t="n"/>
    </x:row>
    <x:row r="371">
      <x:c r="A371" s="56" t="str">
        <x:f>IF(B371="","","TL-"&amp;TEXT(ROW()-4,"0000"))</x:f>
      </x:c>
      <x:c r="B371" s="74" t="n"/>
      <x:c r="C371" s="56" t="n"/>
      <x:c r="D371" s="58" t="n"/>
      <x:c r="E371" s="56" t="n"/>
      <x:c r="F371" s="56" t="n"/>
      <x:c r="G371" s="56" t="n"/>
      <x:c r="H371" s="56" t="n"/>
      <x:c r="I371" s="56" t="n"/>
      <x:c r="J371" s="56" t="n"/>
      <x:c r="K371" s="56" t="n"/>
      <x:c r="L371" s="58" t="str">
        <x:f>IF(B371="","",173.33)</x:f>
      </x:c>
      <x:c r="M371" s="58" t="str">
        <x:f>IF(OR(D371="",L371=""),"",D371/L371)</x:f>
      </x:c>
      <x:c r="N371" s="76" t="n"/>
      <x:c r="O371" s="76" t="str">
        <x:f>IF(OR(M371="",N371=""),"",M371*N371)</x:f>
      </x:c>
      <x:c r="P371" s="76" t="str">
        <x:f>IF(B371="","",6732)</x:f>
      </x:c>
      <x:c r="Q371" s="76" t="str">
        <x:f>IF(OR(D371="",P371=""),"",D371*P371)</x:f>
      </x:c>
      <x:c r="R371" s="56" t="n"/>
      <x:c r="S371" s="56" t="n"/>
      <x:c r="T371" s="74" t="n"/>
      <x:c r="U371" s="56" t="n"/>
    </x:row>
    <x:row r="372">
      <x:c r="A372" s="61" t="str">
        <x:f>IF(B372="","","TL-"&amp;TEXT(ROW()-4,"0000"))</x:f>
      </x:c>
      <x:c r="B372" s="79" t="n"/>
      <x:c r="C372" s="61" t="n"/>
      <x:c r="D372" s="63" t="n"/>
      <x:c r="E372" s="61" t="n"/>
      <x:c r="F372" s="61" t="n"/>
      <x:c r="G372" s="61" t="n"/>
      <x:c r="H372" s="61" t="n"/>
      <x:c r="I372" s="61" t="n"/>
      <x:c r="J372" s="61" t="n"/>
      <x:c r="K372" s="61" t="n"/>
      <x:c r="L372" s="63" t="str">
        <x:f>IF(B372="","",173.33)</x:f>
      </x:c>
      <x:c r="M372" s="63" t="str">
        <x:f>IF(OR(D372="",L372=""),"",D372/L372)</x:f>
      </x:c>
      <x:c r="N372" s="82" t="n"/>
      <x:c r="O372" s="82" t="str">
        <x:f>IF(OR(M372="",N372=""),"",M372*N372)</x:f>
      </x:c>
      <x:c r="P372" s="82" t="str">
        <x:f>IF(B372="","",6732)</x:f>
      </x:c>
      <x:c r="Q372" s="82" t="str">
        <x:f>IF(OR(D372="",P372=""),"",D372*P372)</x:f>
      </x:c>
      <x:c r="R372" s="61" t="n"/>
      <x:c r="S372" s="61" t="n"/>
      <x:c r="T372" s="79" t="n"/>
      <x:c r="U372" s="61" t="n"/>
    </x:row>
    <x:row r="373">
      <x:c r="A373" s="56" t="str">
        <x:f>IF(B373="","","TL-"&amp;TEXT(ROW()-4,"0000"))</x:f>
      </x:c>
      <x:c r="B373" s="74" t="n"/>
      <x:c r="C373" s="56" t="n"/>
      <x:c r="D373" s="58" t="n"/>
      <x:c r="E373" s="56" t="n"/>
      <x:c r="F373" s="56" t="n"/>
      <x:c r="G373" s="56" t="n"/>
      <x:c r="H373" s="56" t="n"/>
      <x:c r="I373" s="56" t="n"/>
      <x:c r="J373" s="56" t="n"/>
      <x:c r="K373" s="56" t="n"/>
      <x:c r="L373" s="58" t="str">
        <x:f>IF(B373="","",173.33)</x:f>
      </x:c>
      <x:c r="M373" s="58" t="str">
        <x:f>IF(OR(D373="",L373=""),"",D373/L373)</x:f>
      </x:c>
      <x:c r="N373" s="76" t="n"/>
      <x:c r="O373" s="76" t="str">
        <x:f>IF(OR(M373="",N373=""),"",M373*N373)</x:f>
      </x:c>
      <x:c r="P373" s="76" t="str">
        <x:f>IF(B373="","",6732)</x:f>
      </x:c>
      <x:c r="Q373" s="76" t="str">
        <x:f>IF(OR(D373="",P373=""),"",D373*P373)</x:f>
      </x:c>
      <x:c r="R373" s="56" t="n"/>
      <x:c r="S373" s="56" t="n"/>
      <x:c r="T373" s="74" t="n"/>
      <x:c r="U373" s="56" t="n"/>
    </x:row>
    <x:row r="374">
      <x:c r="A374" s="61" t="str">
        <x:f>IF(B374="","","TL-"&amp;TEXT(ROW()-4,"0000"))</x:f>
      </x:c>
      <x:c r="B374" s="79" t="n"/>
      <x:c r="C374" s="61" t="n"/>
      <x:c r="D374" s="63" t="n"/>
      <x:c r="E374" s="61" t="n"/>
      <x:c r="F374" s="61" t="n"/>
      <x:c r="G374" s="61" t="n"/>
      <x:c r="H374" s="61" t="n"/>
      <x:c r="I374" s="61" t="n"/>
      <x:c r="J374" s="61" t="n"/>
      <x:c r="K374" s="61" t="n"/>
      <x:c r="L374" s="63" t="str">
        <x:f>IF(B374="","",173.33)</x:f>
      </x:c>
      <x:c r="M374" s="63" t="str">
        <x:f>IF(OR(D374="",L374=""),"",D374/L374)</x:f>
      </x:c>
      <x:c r="N374" s="82" t="n"/>
      <x:c r="O374" s="82" t="str">
        <x:f>IF(OR(M374="",N374=""),"",M374*N374)</x:f>
      </x:c>
      <x:c r="P374" s="82" t="str">
        <x:f>IF(B374="","",6732)</x:f>
      </x:c>
      <x:c r="Q374" s="82" t="str">
        <x:f>IF(OR(D374="",P374=""),"",D374*P374)</x:f>
      </x:c>
      <x:c r="R374" s="61" t="n"/>
      <x:c r="S374" s="61" t="n"/>
      <x:c r="T374" s="79" t="n"/>
      <x:c r="U374" s="61" t="n"/>
    </x:row>
    <x:row r="375">
      <x:c r="A375" s="56" t="str">
        <x:f>IF(B375="","","TL-"&amp;TEXT(ROW()-4,"0000"))</x:f>
      </x:c>
      <x:c r="B375" s="74" t="n"/>
      <x:c r="C375" s="56" t="n"/>
      <x:c r="D375" s="58" t="n"/>
      <x:c r="E375" s="56" t="n"/>
      <x:c r="F375" s="56" t="n"/>
      <x:c r="G375" s="56" t="n"/>
      <x:c r="H375" s="56" t="n"/>
      <x:c r="I375" s="56" t="n"/>
      <x:c r="J375" s="56" t="n"/>
      <x:c r="K375" s="56" t="n"/>
      <x:c r="L375" s="58" t="str">
        <x:f>IF(B375="","",173.33)</x:f>
      </x:c>
      <x:c r="M375" s="58" t="str">
        <x:f>IF(OR(D375="",L375=""),"",D375/L375)</x:f>
      </x:c>
      <x:c r="N375" s="76" t="n"/>
      <x:c r="O375" s="76" t="str">
        <x:f>IF(OR(M375="",N375=""),"",M375*N375)</x:f>
      </x:c>
      <x:c r="P375" s="76" t="str">
        <x:f>IF(B375="","",6732)</x:f>
      </x:c>
      <x:c r="Q375" s="76" t="str">
        <x:f>IF(OR(D375="",P375=""),"",D375*P375)</x:f>
      </x:c>
      <x:c r="R375" s="56" t="n"/>
      <x:c r="S375" s="56" t="n"/>
      <x:c r="T375" s="74" t="n"/>
      <x:c r="U375" s="56" t="n"/>
    </x:row>
    <x:row r="376">
      <x:c r="A376" s="61" t="str">
        <x:f>IF(B376="","","TL-"&amp;TEXT(ROW()-4,"0000"))</x:f>
      </x:c>
      <x:c r="B376" s="79" t="n"/>
      <x:c r="C376" s="61" t="n"/>
      <x:c r="D376" s="63" t="n"/>
      <x:c r="E376" s="61" t="n"/>
      <x:c r="F376" s="61" t="n"/>
      <x:c r="G376" s="61" t="n"/>
      <x:c r="H376" s="61" t="n"/>
      <x:c r="I376" s="61" t="n"/>
      <x:c r="J376" s="61" t="n"/>
      <x:c r="K376" s="61" t="n"/>
      <x:c r="L376" s="63" t="str">
        <x:f>IF(B376="","",173.33)</x:f>
      </x:c>
      <x:c r="M376" s="63" t="str">
        <x:f>IF(OR(D376="",L376=""),"",D376/L376)</x:f>
      </x:c>
      <x:c r="N376" s="82" t="n"/>
      <x:c r="O376" s="82" t="str">
        <x:f>IF(OR(M376="",N376=""),"",M376*N376)</x:f>
      </x:c>
      <x:c r="P376" s="82" t="str">
        <x:f>IF(B376="","",6732)</x:f>
      </x:c>
      <x:c r="Q376" s="82" t="str">
        <x:f>IF(OR(D376="",P376=""),"",D376*P376)</x:f>
      </x:c>
      <x:c r="R376" s="61" t="n"/>
      <x:c r="S376" s="61" t="n"/>
      <x:c r="T376" s="79" t="n"/>
      <x:c r="U376" s="61" t="n"/>
    </x:row>
    <x:row r="377">
      <x:c r="A377" s="56" t="str">
        <x:f>IF(B377="","","TL-"&amp;TEXT(ROW()-4,"0000"))</x:f>
      </x:c>
      <x:c r="B377" s="74" t="n"/>
      <x:c r="C377" s="56" t="n"/>
      <x:c r="D377" s="58" t="n"/>
      <x:c r="E377" s="56" t="n"/>
      <x:c r="F377" s="56" t="n"/>
      <x:c r="G377" s="56" t="n"/>
      <x:c r="H377" s="56" t="n"/>
      <x:c r="I377" s="56" t="n"/>
      <x:c r="J377" s="56" t="n"/>
      <x:c r="K377" s="56" t="n"/>
      <x:c r="L377" s="58" t="str">
        <x:f>IF(B377="","",173.33)</x:f>
      </x:c>
      <x:c r="M377" s="58" t="str">
        <x:f>IF(OR(D377="",L377=""),"",D377/L377)</x:f>
      </x:c>
      <x:c r="N377" s="76" t="n"/>
      <x:c r="O377" s="76" t="str">
        <x:f>IF(OR(M377="",N377=""),"",M377*N377)</x:f>
      </x:c>
      <x:c r="P377" s="76" t="str">
        <x:f>IF(B377="","",6732)</x:f>
      </x:c>
      <x:c r="Q377" s="76" t="str">
        <x:f>IF(OR(D377="",P377=""),"",D377*P377)</x:f>
      </x:c>
      <x:c r="R377" s="56" t="n"/>
      <x:c r="S377" s="56" t="n"/>
      <x:c r="T377" s="74" t="n"/>
      <x:c r="U377" s="56" t="n"/>
    </x:row>
    <x:row r="378">
      <x:c r="A378" s="61" t="str">
        <x:f>IF(B378="","","TL-"&amp;TEXT(ROW()-4,"0000"))</x:f>
      </x:c>
      <x:c r="B378" s="79" t="n"/>
      <x:c r="C378" s="61" t="n"/>
      <x:c r="D378" s="63" t="n"/>
      <x:c r="E378" s="61" t="n"/>
      <x:c r="F378" s="61" t="n"/>
      <x:c r="G378" s="61" t="n"/>
      <x:c r="H378" s="61" t="n"/>
      <x:c r="I378" s="61" t="n"/>
      <x:c r="J378" s="61" t="n"/>
      <x:c r="K378" s="61" t="n"/>
      <x:c r="L378" s="63" t="str">
        <x:f>IF(B378="","",173.33)</x:f>
      </x:c>
      <x:c r="M378" s="63" t="str">
        <x:f>IF(OR(D378="",L378=""),"",D378/L378)</x:f>
      </x:c>
      <x:c r="N378" s="82" t="n"/>
      <x:c r="O378" s="82" t="str">
        <x:f>IF(OR(M378="",N378=""),"",M378*N378)</x:f>
      </x:c>
      <x:c r="P378" s="82" t="str">
        <x:f>IF(B378="","",6732)</x:f>
      </x:c>
      <x:c r="Q378" s="82" t="str">
        <x:f>IF(OR(D378="",P378=""),"",D378*P378)</x:f>
      </x:c>
      <x:c r="R378" s="61" t="n"/>
      <x:c r="S378" s="61" t="n"/>
      <x:c r="T378" s="79" t="n"/>
      <x:c r="U378" s="61" t="n"/>
    </x:row>
    <x:row r="379">
      <x:c r="A379" s="56" t="str">
        <x:f>IF(B379="","","TL-"&amp;TEXT(ROW()-4,"0000"))</x:f>
      </x:c>
      <x:c r="B379" s="74" t="n"/>
      <x:c r="C379" s="56" t="n"/>
      <x:c r="D379" s="58" t="n"/>
      <x:c r="E379" s="56" t="n"/>
      <x:c r="F379" s="56" t="n"/>
      <x:c r="G379" s="56" t="n"/>
      <x:c r="H379" s="56" t="n"/>
      <x:c r="I379" s="56" t="n"/>
      <x:c r="J379" s="56" t="n"/>
      <x:c r="K379" s="56" t="n"/>
      <x:c r="L379" s="58" t="str">
        <x:f>IF(B379="","",173.33)</x:f>
      </x:c>
      <x:c r="M379" s="58" t="str">
        <x:f>IF(OR(D379="",L379=""),"",D379/L379)</x:f>
      </x:c>
      <x:c r="N379" s="76" t="n"/>
      <x:c r="O379" s="76" t="str">
        <x:f>IF(OR(M379="",N379=""),"",M379*N379)</x:f>
      </x:c>
      <x:c r="P379" s="76" t="str">
        <x:f>IF(B379="","",6732)</x:f>
      </x:c>
      <x:c r="Q379" s="76" t="str">
        <x:f>IF(OR(D379="",P379=""),"",D379*P379)</x:f>
      </x:c>
      <x:c r="R379" s="56" t="n"/>
      <x:c r="S379" s="56" t="n"/>
      <x:c r="T379" s="74" t="n"/>
      <x:c r="U379" s="56" t="n"/>
    </x:row>
    <x:row r="380">
      <x:c r="A380" s="61" t="str">
        <x:f>IF(B380="","","TL-"&amp;TEXT(ROW()-4,"0000"))</x:f>
      </x:c>
      <x:c r="B380" s="79" t="n"/>
      <x:c r="C380" s="61" t="n"/>
      <x:c r="D380" s="63" t="n"/>
      <x:c r="E380" s="61" t="n"/>
      <x:c r="F380" s="61" t="n"/>
      <x:c r="G380" s="61" t="n"/>
      <x:c r="H380" s="61" t="n"/>
      <x:c r="I380" s="61" t="n"/>
      <x:c r="J380" s="61" t="n"/>
      <x:c r="K380" s="61" t="n"/>
      <x:c r="L380" s="63" t="str">
        <x:f>IF(B380="","",173.33)</x:f>
      </x:c>
      <x:c r="M380" s="63" t="str">
        <x:f>IF(OR(D380="",L380=""),"",D380/L380)</x:f>
      </x:c>
      <x:c r="N380" s="82" t="n"/>
      <x:c r="O380" s="82" t="str">
        <x:f>IF(OR(M380="",N380=""),"",M380*N380)</x:f>
      </x:c>
      <x:c r="P380" s="82" t="str">
        <x:f>IF(B380="","",6732)</x:f>
      </x:c>
      <x:c r="Q380" s="82" t="str">
        <x:f>IF(OR(D380="",P380=""),"",D380*P380)</x:f>
      </x:c>
      <x:c r="R380" s="61" t="n"/>
      <x:c r="S380" s="61" t="n"/>
      <x:c r="T380" s="79" t="n"/>
      <x:c r="U380" s="61" t="n"/>
    </x:row>
    <x:row r="381">
      <x:c r="A381" s="56" t="str">
        <x:f>IF(B381="","","TL-"&amp;TEXT(ROW()-4,"0000"))</x:f>
      </x:c>
      <x:c r="B381" s="74" t="n"/>
      <x:c r="C381" s="56" t="n"/>
      <x:c r="D381" s="58" t="n"/>
      <x:c r="E381" s="56" t="n"/>
      <x:c r="F381" s="56" t="n"/>
      <x:c r="G381" s="56" t="n"/>
      <x:c r="H381" s="56" t="n"/>
      <x:c r="I381" s="56" t="n"/>
      <x:c r="J381" s="56" t="n"/>
      <x:c r="K381" s="56" t="n"/>
      <x:c r="L381" s="58" t="str">
        <x:f>IF(B381="","",173.33)</x:f>
      </x:c>
      <x:c r="M381" s="58" t="str">
        <x:f>IF(OR(D381="",L381=""),"",D381/L381)</x:f>
      </x:c>
      <x:c r="N381" s="76" t="n"/>
      <x:c r="O381" s="76" t="str">
        <x:f>IF(OR(M381="",N381=""),"",M381*N381)</x:f>
      </x:c>
      <x:c r="P381" s="76" t="str">
        <x:f>IF(B381="","",6732)</x:f>
      </x:c>
      <x:c r="Q381" s="76" t="str">
        <x:f>IF(OR(D381="",P381=""),"",D381*P381)</x:f>
      </x:c>
      <x:c r="R381" s="56" t="n"/>
      <x:c r="S381" s="56" t="n"/>
      <x:c r="T381" s="74" t="n"/>
      <x:c r="U381" s="56" t="n"/>
    </x:row>
    <x:row r="382">
      <x:c r="A382" s="61" t="str">
        <x:f>IF(B382="","","TL-"&amp;TEXT(ROW()-4,"0000"))</x:f>
      </x:c>
      <x:c r="B382" s="79" t="n"/>
      <x:c r="C382" s="61" t="n"/>
      <x:c r="D382" s="63" t="n"/>
      <x:c r="E382" s="61" t="n"/>
      <x:c r="F382" s="61" t="n"/>
      <x:c r="G382" s="61" t="n"/>
      <x:c r="H382" s="61" t="n"/>
      <x:c r="I382" s="61" t="n"/>
      <x:c r="J382" s="61" t="n"/>
      <x:c r="K382" s="61" t="n"/>
      <x:c r="L382" s="63" t="str">
        <x:f>IF(B382="","",173.33)</x:f>
      </x:c>
      <x:c r="M382" s="63" t="str">
        <x:f>IF(OR(D382="",L382=""),"",D382/L382)</x:f>
      </x:c>
      <x:c r="N382" s="82" t="n"/>
      <x:c r="O382" s="82" t="str">
        <x:f>IF(OR(M382="",N382=""),"",M382*N382)</x:f>
      </x:c>
      <x:c r="P382" s="82" t="str">
        <x:f>IF(B382="","",6732)</x:f>
      </x:c>
      <x:c r="Q382" s="82" t="str">
        <x:f>IF(OR(D382="",P382=""),"",D382*P382)</x:f>
      </x:c>
      <x:c r="R382" s="61" t="n"/>
      <x:c r="S382" s="61" t="n"/>
      <x:c r="T382" s="79" t="n"/>
      <x:c r="U382" s="61" t="n"/>
    </x:row>
    <x:row r="383">
      <x:c r="A383" s="56" t="str">
        <x:f>IF(B383="","","TL-"&amp;TEXT(ROW()-4,"0000"))</x:f>
      </x:c>
      <x:c r="B383" s="74" t="n"/>
      <x:c r="C383" s="56" t="n"/>
      <x:c r="D383" s="58" t="n"/>
      <x:c r="E383" s="56" t="n"/>
      <x:c r="F383" s="56" t="n"/>
      <x:c r="G383" s="56" t="n"/>
      <x:c r="H383" s="56" t="n"/>
      <x:c r="I383" s="56" t="n"/>
      <x:c r="J383" s="56" t="n"/>
      <x:c r="K383" s="56" t="n"/>
      <x:c r="L383" s="58" t="str">
        <x:f>IF(B383="","",173.33)</x:f>
      </x:c>
      <x:c r="M383" s="58" t="str">
        <x:f>IF(OR(D383="",L383=""),"",D383/L383)</x:f>
      </x:c>
      <x:c r="N383" s="76" t="n"/>
      <x:c r="O383" s="76" t="str">
        <x:f>IF(OR(M383="",N383=""),"",M383*N383)</x:f>
      </x:c>
      <x:c r="P383" s="76" t="str">
        <x:f>IF(B383="","",6732)</x:f>
      </x:c>
      <x:c r="Q383" s="76" t="str">
        <x:f>IF(OR(D383="",P383=""),"",D383*P383)</x:f>
      </x:c>
      <x:c r="R383" s="56" t="n"/>
      <x:c r="S383" s="56" t="n"/>
      <x:c r="T383" s="74" t="n"/>
      <x:c r="U383" s="56" t="n"/>
    </x:row>
    <x:row r="384">
      <x:c r="A384" s="61" t="str">
        <x:f>IF(B384="","","TL-"&amp;TEXT(ROW()-4,"0000"))</x:f>
      </x:c>
      <x:c r="B384" s="79" t="n"/>
      <x:c r="C384" s="61" t="n"/>
      <x:c r="D384" s="63" t="n"/>
      <x:c r="E384" s="61" t="n"/>
      <x:c r="F384" s="61" t="n"/>
      <x:c r="G384" s="61" t="n"/>
      <x:c r="H384" s="61" t="n"/>
      <x:c r="I384" s="61" t="n"/>
      <x:c r="J384" s="61" t="n"/>
      <x:c r="K384" s="61" t="n"/>
      <x:c r="L384" s="63" t="str">
        <x:f>IF(B384="","",173.33)</x:f>
      </x:c>
      <x:c r="M384" s="63" t="str">
        <x:f>IF(OR(D384="",L384=""),"",D384/L384)</x:f>
      </x:c>
      <x:c r="N384" s="82" t="n"/>
      <x:c r="O384" s="82" t="str">
        <x:f>IF(OR(M384="",N384=""),"",M384*N384)</x:f>
      </x:c>
      <x:c r="P384" s="82" t="str">
        <x:f>IF(B384="","",6732)</x:f>
      </x:c>
      <x:c r="Q384" s="82" t="str">
        <x:f>IF(OR(D384="",P384=""),"",D384*P384)</x:f>
      </x:c>
      <x:c r="R384" s="61" t="n"/>
      <x:c r="S384" s="61" t="n"/>
      <x:c r="T384" s="79" t="n"/>
      <x:c r="U384" s="61" t="n"/>
    </x:row>
    <x:row r="385">
      <x:c r="A385" s="56" t="str">
        <x:f>IF(B385="","","TL-"&amp;TEXT(ROW()-4,"0000"))</x:f>
      </x:c>
      <x:c r="B385" s="74" t="n"/>
      <x:c r="C385" s="56" t="n"/>
      <x:c r="D385" s="58" t="n"/>
      <x:c r="E385" s="56" t="n"/>
      <x:c r="F385" s="56" t="n"/>
      <x:c r="G385" s="56" t="n"/>
      <x:c r="H385" s="56" t="n"/>
      <x:c r="I385" s="56" t="n"/>
      <x:c r="J385" s="56" t="n"/>
      <x:c r="K385" s="56" t="n"/>
      <x:c r="L385" s="58" t="str">
        <x:f>IF(B385="","",173.33)</x:f>
      </x:c>
      <x:c r="M385" s="58" t="str">
        <x:f>IF(OR(D385="",L385=""),"",D385/L385)</x:f>
      </x:c>
      <x:c r="N385" s="76" t="n"/>
      <x:c r="O385" s="76" t="str">
        <x:f>IF(OR(M385="",N385=""),"",M385*N385)</x:f>
      </x:c>
      <x:c r="P385" s="76" t="str">
        <x:f>IF(B385="","",6732)</x:f>
      </x:c>
      <x:c r="Q385" s="76" t="str">
        <x:f>IF(OR(D385="",P385=""),"",D385*P385)</x:f>
      </x:c>
      <x:c r="R385" s="56" t="n"/>
      <x:c r="S385" s="56" t="n"/>
      <x:c r="T385" s="74" t="n"/>
      <x:c r="U385" s="56" t="n"/>
    </x:row>
    <x:row r="386">
      <x:c r="A386" s="61" t="str">
        <x:f>IF(B386="","","TL-"&amp;TEXT(ROW()-4,"0000"))</x:f>
      </x:c>
      <x:c r="B386" s="79" t="n"/>
      <x:c r="C386" s="61" t="n"/>
      <x:c r="D386" s="63" t="n"/>
      <x:c r="E386" s="61" t="n"/>
      <x:c r="F386" s="61" t="n"/>
      <x:c r="G386" s="61" t="n"/>
      <x:c r="H386" s="61" t="n"/>
      <x:c r="I386" s="61" t="n"/>
      <x:c r="J386" s="61" t="n"/>
      <x:c r="K386" s="61" t="n"/>
      <x:c r="L386" s="63" t="str">
        <x:f>IF(B386="","",173.33)</x:f>
      </x:c>
      <x:c r="M386" s="63" t="str">
        <x:f>IF(OR(D386="",L386=""),"",D386/L386)</x:f>
      </x:c>
      <x:c r="N386" s="82" t="n"/>
      <x:c r="O386" s="82" t="str">
        <x:f>IF(OR(M386="",N386=""),"",M386*N386)</x:f>
      </x:c>
      <x:c r="P386" s="82" t="str">
        <x:f>IF(B386="","",6732)</x:f>
      </x:c>
      <x:c r="Q386" s="82" t="str">
        <x:f>IF(OR(D386="",P386=""),"",D386*P386)</x:f>
      </x:c>
      <x:c r="R386" s="61" t="n"/>
      <x:c r="S386" s="61" t="n"/>
      <x:c r="T386" s="79" t="n"/>
      <x:c r="U386" s="61" t="n"/>
    </x:row>
    <x:row r="387">
      <x:c r="A387" s="56" t="str">
        <x:f>IF(B387="","","TL-"&amp;TEXT(ROW()-4,"0000"))</x:f>
      </x:c>
      <x:c r="B387" s="74" t="n"/>
      <x:c r="C387" s="56" t="n"/>
      <x:c r="D387" s="58" t="n"/>
      <x:c r="E387" s="56" t="n"/>
      <x:c r="F387" s="56" t="n"/>
      <x:c r="G387" s="56" t="n"/>
      <x:c r="H387" s="56" t="n"/>
      <x:c r="I387" s="56" t="n"/>
      <x:c r="J387" s="56" t="n"/>
      <x:c r="K387" s="56" t="n"/>
      <x:c r="L387" s="58" t="str">
        <x:f>IF(B387="","",173.33)</x:f>
      </x:c>
      <x:c r="M387" s="58" t="str">
        <x:f>IF(OR(D387="",L387=""),"",D387/L387)</x:f>
      </x:c>
      <x:c r="N387" s="76" t="n"/>
      <x:c r="O387" s="76" t="str">
        <x:f>IF(OR(M387="",N387=""),"",M387*N387)</x:f>
      </x:c>
      <x:c r="P387" s="76" t="str">
        <x:f>IF(B387="","",6732)</x:f>
      </x:c>
      <x:c r="Q387" s="76" t="str">
        <x:f>IF(OR(D387="",P387=""),"",D387*P387)</x:f>
      </x:c>
      <x:c r="R387" s="56" t="n"/>
      <x:c r="S387" s="56" t="n"/>
      <x:c r="T387" s="74" t="n"/>
      <x:c r="U387" s="56" t="n"/>
    </x:row>
    <x:row r="388">
      <x:c r="A388" s="61" t="str">
        <x:f>IF(B388="","","TL-"&amp;TEXT(ROW()-4,"0000"))</x:f>
      </x:c>
      <x:c r="B388" s="79" t="n"/>
      <x:c r="C388" s="61" t="n"/>
      <x:c r="D388" s="63" t="n"/>
      <x:c r="E388" s="61" t="n"/>
      <x:c r="F388" s="61" t="n"/>
      <x:c r="G388" s="61" t="n"/>
      <x:c r="H388" s="61" t="n"/>
      <x:c r="I388" s="61" t="n"/>
      <x:c r="J388" s="61" t="n"/>
      <x:c r="K388" s="61" t="n"/>
      <x:c r="L388" s="63" t="str">
        <x:f>IF(B388="","",173.33)</x:f>
      </x:c>
      <x:c r="M388" s="63" t="str">
        <x:f>IF(OR(D388="",L388=""),"",D388/L388)</x:f>
      </x:c>
      <x:c r="N388" s="82" t="n"/>
      <x:c r="O388" s="82" t="str">
        <x:f>IF(OR(M388="",N388=""),"",M388*N388)</x:f>
      </x:c>
      <x:c r="P388" s="82" t="str">
        <x:f>IF(B388="","",6732)</x:f>
      </x:c>
      <x:c r="Q388" s="82" t="str">
        <x:f>IF(OR(D388="",P388=""),"",D388*P388)</x:f>
      </x:c>
      <x:c r="R388" s="61" t="n"/>
      <x:c r="S388" s="61" t="n"/>
      <x:c r="T388" s="79" t="n"/>
      <x:c r="U388" s="61" t="n"/>
    </x:row>
    <x:row r="389">
      <x:c r="A389" s="56" t="str">
        <x:f>IF(B389="","","TL-"&amp;TEXT(ROW()-4,"0000"))</x:f>
      </x:c>
      <x:c r="B389" s="74" t="n"/>
      <x:c r="C389" s="56" t="n"/>
      <x:c r="D389" s="58" t="n"/>
      <x:c r="E389" s="56" t="n"/>
      <x:c r="F389" s="56" t="n"/>
      <x:c r="G389" s="56" t="n"/>
      <x:c r="H389" s="56" t="n"/>
      <x:c r="I389" s="56" t="n"/>
      <x:c r="J389" s="56" t="n"/>
      <x:c r="K389" s="56" t="n"/>
      <x:c r="L389" s="58" t="str">
        <x:f>IF(B389="","",173.33)</x:f>
      </x:c>
      <x:c r="M389" s="58" t="str">
        <x:f>IF(OR(D389="",L389=""),"",D389/L389)</x:f>
      </x:c>
      <x:c r="N389" s="76" t="n"/>
      <x:c r="O389" s="76" t="str">
        <x:f>IF(OR(M389="",N389=""),"",M389*N389)</x:f>
      </x:c>
      <x:c r="P389" s="76" t="str">
        <x:f>IF(B389="","",6732)</x:f>
      </x:c>
      <x:c r="Q389" s="76" t="str">
        <x:f>IF(OR(D389="",P389=""),"",D389*P389)</x:f>
      </x:c>
      <x:c r="R389" s="56" t="n"/>
      <x:c r="S389" s="56" t="n"/>
      <x:c r="T389" s="74" t="n"/>
      <x:c r="U389" s="56" t="n"/>
    </x:row>
    <x:row r="390">
      <x:c r="A390" s="61" t="str">
        <x:f>IF(B390="","","TL-"&amp;TEXT(ROW()-4,"0000"))</x:f>
      </x:c>
      <x:c r="B390" s="79" t="n"/>
      <x:c r="C390" s="61" t="n"/>
      <x:c r="D390" s="63" t="n"/>
      <x:c r="E390" s="61" t="n"/>
      <x:c r="F390" s="61" t="n"/>
      <x:c r="G390" s="61" t="n"/>
      <x:c r="H390" s="61" t="n"/>
      <x:c r="I390" s="61" t="n"/>
      <x:c r="J390" s="61" t="n"/>
      <x:c r="K390" s="61" t="n"/>
      <x:c r="L390" s="63" t="str">
        <x:f>IF(B390="","",173.33)</x:f>
      </x:c>
      <x:c r="M390" s="63" t="str">
        <x:f>IF(OR(D390="",L390=""),"",D390/L390)</x:f>
      </x:c>
      <x:c r="N390" s="82" t="n"/>
      <x:c r="O390" s="82" t="str">
        <x:f>IF(OR(M390="",N390=""),"",M390*N390)</x:f>
      </x:c>
      <x:c r="P390" s="82" t="str">
        <x:f>IF(B390="","",6732)</x:f>
      </x:c>
      <x:c r="Q390" s="82" t="str">
        <x:f>IF(OR(D390="",P390=""),"",D390*P390)</x:f>
      </x:c>
      <x:c r="R390" s="61" t="n"/>
      <x:c r="S390" s="61" t="n"/>
      <x:c r="T390" s="79" t="n"/>
      <x:c r="U390" s="61" t="n"/>
    </x:row>
    <x:row r="391">
      <x:c r="A391" s="56" t="str">
        <x:f>IF(B391="","","TL-"&amp;TEXT(ROW()-4,"0000"))</x:f>
      </x:c>
      <x:c r="B391" s="74" t="n"/>
      <x:c r="C391" s="56" t="n"/>
      <x:c r="D391" s="58" t="n"/>
      <x:c r="E391" s="56" t="n"/>
      <x:c r="F391" s="56" t="n"/>
      <x:c r="G391" s="56" t="n"/>
      <x:c r="H391" s="56" t="n"/>
      <x:c r="I391" s="56" t="n"/>
      <x:c r="J391" s="56" t="n"/>
      <x:c r="K391" s="56" t="n"/>
      <x:c r="L391" s="58" t="str">
        <x:f>IF(B391="","",173.33)</x:f>
      </x:c>
      <x:c r="M391" s="58" t="str">
        <x:f>IF(OR(D391="",L391=""),"",D391/L391)</x:f>
      </x:c>
      <x:c r="N391" s="76" t="n"/>
      <x:c r="O391" s="76" t="str">
        <x:f>IF(OR(M391="",N391=""),"",M391*N391)</x:f>
      </x:c>
      <x:c r="P391" s="76" t="str">
        <x:f>IF(B391="","",6732)</x:f>
      </x:c>
      <x:c r="Q391" s="76" t="str">
        <x:f>IF(OR(D391="",P391=""),"",D391*P391)</x:f>
      </x:c>
      <x:c r="R391" s="56" t="n"/>
      <x:c r="S391" s="56" t="n"/>
      <x:c r="T391" s="74" t="n"/>
      <x:c r="U391" s="56" t="n"/>
    </x:row>
    <x:row r="392">
      <x:c r="A392" s="61" t="str">
        <x:f>IF(B392="","","TL-"&amp;TEXT(ROW()-4,"0000"))</x:f>
      </x:c>
      <x:c r="B392" s="79" t="n"/>
      <x:c r="C392" s="61" t="n"/>
      <x:c r="D392" s="63" t="n"/>
      <x:c r="E392" s="61" t="n"/>
      <x:c r="F392" s="61" t="n"/>
      <x:c r="G392" s="61" t="n"/>
      <x:c r="H392" s="61" t="n"/>
      <x:c r="I392" s="61" t="n"/>
      <x:c r="J392" s="61" t="n"/>
      <x:c r="K392" s="61" t="n"/>
      <x:c r="L392" s="63" t="str">
        <x:f>IF(B392="","",173.33)</x:f>
      </x:c>
      <x:c r="M392" s="63" t="str">
        <x:f>IF(OR(D392="",L392=""),"",D392/L392)</x:f>
      </x:c>
      <x:c r="N392" s="82" t="n"/>
      <x:c r="O392" s="82" t="str">
        <x:f>IF(OR(M392="",N392=""),"",M392*N392)</x:f>
      </x:c>
      <x:c r="P392" s="82" t="str">
        <x:f>IF(B392="","",6732)</x:f>
      </x:c>
      <x:c r="Q392" s="82" t="str">
        <x:f>IF(OR(D392="",P392=""),"",D392*P392)</x:f>
      </x:c>
      <x:c r="R392" s="61" t="n"/>
      <x:c r="S392" s="61" t="n"/>
      <x:c r="T392" s="79" t="n"/>
      <x:c r="U392" s="61" t="n"/>
    </x:row>
    <x:row r="393">
      <x:c r="A393" s="56" t="str">
        <x:f>IF(B393="","","TL-"&amp;TEXT(ROW()-4,"0000"))</x:f>
      </x:c>
      <x:c r="B393" s="74" t="n"/>
      <x:c r="C393" s="56" t="n"/>
      <x:c r="D393" s="58" t="n"/>
      <x:c r="E393" s="56" t="n"/>
      <x:c r="F393" s="56" t="n"/>
      <x:c r="G393" s="56" t="n"/>
      <x:c r="H393" s="56" t="n"/>
      <x:c r="I393" s="56" t="n"/>
      <x:c r="J393" s="56" t="n"/>
      <x:c r="K393" s="56" t="n"/>
      <x:c r="L393" s="58" t="str">
        <x:f>IF(B393="","",173.33)</x:f>
      </x:c>
      <x:c r="M393" s="58" t="str">
        <x:f>IF(OR(D393="",L393=""),"",D393/L393)</x:f>
      </x:c>
      <x:c r="N393" s="76" t="n"/>
      <x:c r="O393" s="76" t="str">
        <x:f>IF(OR(M393="",N393=""),"",M393*N393)</x:f>
      </x:c>
      <x:c r="P393" s="76" t="str">
        <x:f>IF(B393="","",6732)</x:f>
      </x:c>
      <x:c r="Q393" s="76" t="str">
        <x:f>IF(OR(D393="",P393=""),"",D393*P393)</x:f>
      </x:c>
      <x:c r="R393" s="56" t="n"/>
      <x:c r="S393" s="56" t="n"/>
      <x:c r="T393" s="74" t="n"/>
      <x:c r="U393" s="56" t="n"/>
    </x:row>
    <x:row r="394">
      <x:c r="A394" s="61" t="str">
        <x:f>IF(B394="","","TL-"&amp;TEXT(ROW()-4,"0000"))</x:f>
      </x:c>
      <x:c r="B394" s="79" t="n"/>
      <x:c r="C394" s="61" t="n"/>
      <x:c r="D394" s="63" t="n"/>
      <x:c r="E394" s="61" t="n"/>
      <x:c r="F394" s="61" t="n"/>
      <x:c r="G394" s="61" t="n"/>
      <x:c r="H394" s="61" t="n"/>
      <x:c r="I394" s="61" t="n"/>
      <x:c r="J394" s="61" t="n"/>
      <x:c r="K394" s="61" t="n"/>
      <x:c r="L394" s="63" t="str">
        <x:f>IF(B394="","",173.33)</x:f>
      </x:c>
      <x:c r="M394" s="63" t="str">
        <x:f>IF(OR(D394="",L394=""),"",D394/L394)</x:f>
      </x:c>
      <x:c r="N394" s="82" t="n"/>
      <x:c r="O394" s="82" t="str">
        <x:f>IF(OR(M394="",N394=""),"",M394*N394)</x:f>
      </x:c>
      <x:c r="P394" s="82" t="str">
        <x:f>IF(B394="","",6732)</x:f>
      </x:c>
      <x:c r="Q394" s="82" t="str">
        <x:f>IF(OR(D394="",P394=""),"",D394*P394)</x:f>
      </x:c>
      <x:c r="R394" s="61" t="n"/>
      <x:c r="S394" s="61" t="n"/>
      <x:c r="T394" s="79" t="n"/>
      <x:c r="U394" s="61" t="n"/>
    </x:row>
    <x:row r="395">
      <x:c r="A395" s="56" t="str">
        <x:f>IF(B395="","","TL-"&amp;TEXT(ROW()-4,"0000"))</x:f>
      </x:c>
      <x:c r="B395" s="74" t="n"/>
      <x:c r="C395" s="56" t="n"/>
      <x:c r="D395" s="58" t="n"/>
      <x:c r="E395" s="56" t="n"/>
      <x:c r="F395" s="56" t="n"/>
      <x:c r="G395" s="56" t="n"/>
      <x:c r="H395" s="56" t="n"/>
      <x:c r="I395" s="56" t="n"/>
      <x:c r="J395" s="56" t="n"/>
      <x:c r="K395" s="56" t="n"/>
      <x:c r="L395" s="58" t="str">
        <x:f>IF(B395="","",173.33)</x:f>
      </x:c>
      <x:c r="M395" s="58" t="str">
        <x:f>IF(OR(D395="",L395=""),"",D395/L395)</x:f>
      </x:c>
      <x:c r="N395" s="76" t="n"/>
      <x:c r="O395" s="76" t="str">
        <x:f>IF(OR(M395="",N395=""),"",M395*N395)</x:f>
      </x:c>
      <x:c r="P395" s="76" t="str">
        <x:f>IF(B395="","",6732)</x:f>
      </x:c>
      <x:c r="Q395" s="76" t="str">
        <x:f>IF(OR(D395="",P395=""),"",D395*P395)</x:f>
      </x:c>
      <x:c r="R395" s="56" t="n"/>
      <x:c r="S395" s="56" t="n"/>
      <x:c r="T395" s="74" t="n"/>
      <x:c r="U395" s="56" t="n"/>
    </x:row>
    <x:row r="396">
      <x:c r="A396" s="61" t="str">
        <x:f>IF(B396="","","TL-"&amp;TEXT(ROW()-4,"0000"))</x:f>
      </x:c>
      <x:c r="B396" s="79" t="n"/>
      <x:c r="C396" s="61" t="n"/>
      <x:c r="D396" s="63" t="n"/>
      <x:c r="E396" s="61" t="n"/>
      <x:c r="F396" s="61" t="n"/>
      <x:c r="G396" s="61" t="n"/>
      <x:c r="H396" s="61" t="n"/>
      <x:c r="I396" s="61" t="n"/>
      <x:c r="J396" s="61" t="n"/>
      <x:c r="K396" s="61" t="n"/>
      <x:c r="L396" s="63" t="str">
        <x:f>IF(B396="","",173.33)</x:f>
      </x:c>
      <x:c r="M396" s="63" t="str">
        <x:f>IF(OR(D396="",L396=""),"",D396/L396)</x:f>
      </x:c>
      <x:c r="N396" s="82" t="n"/>
      <x:c r="O396" s="82" t="str">
        <x:f>IF(OR(M396="",N396=""),"",M396*N396)</x:f>
      </x:c>
      <x:c r="P396" s="82" t="str">
        <x:f>IF(B396="","",6732)</x:f>
      </x:c>
      <x:c r="Q396" s="82" t="str">
        <x:f>IF(OR(D396="",P396=""),"",D396*P396)</x:f>
      </x:c>
      <x:c r="R396" s="61" t="n"/>
      <x:c r="S396" s="61" t="n"/>
      <x:c r="T396" s="79" t="n"/>
      <x:c r="U396" s="61" t="n"/>
    </x:row>
    <x:row r="397">
      <x:c r="A397" s="56" t="str">
        <x:f>IF(B397="","","TL-"&amp;TEXT(ROW()-4,"0000"))</x:f>
      </x:c>
      <x:c r="B397" s="74" t="n"/>
      <x:c r="C397" s="56" t="n"/>
      <x:c r="D397" s="58" t="n"/>
      <x:c r="E397" s="56" t="n"/>
      <x:c r="F397" s="56" t="n"/>
      <x:c r="G397" s="56" t="n"/>
      <x:c r="H397" s="56" t="n"/>
      <x:c r="I397" s="56" t="n"/>
      <x:c r="J397" s="56" t="n"/>
      <x:c r="K397" s="56" t="n"/>
      <x:c r="L397" s="58" t="str">
        <x:f>IF(B397="","",173.33)</x:f>
      </x:c>
      <x:c r="M397" s="58" t="str">
        <x:f>IF(OR(D397="",L397=""),"",D397/L397)</x:f>
      </x:c>
      <x:c r="N397" s="76" t="n"/>
      <x:c r="O397" s="76" t="str">
        <x:f>IF(OR(M397="",N397=""),"",M397*N397)</x:f>
      </x:c>
      <x:c r="P397" s="76" t="str">
        <x:f>IF(B397="","",6732)</x:f>
      </x:c>
      <x:c r="Q397" s="76" t="str">
        <x:f>IF(OR(D397="",P397=""),"",D397*P397)</x:f>
      </x:c>
      <x:c r="R397" s="56" t="n"/>
      <x:c r="S397" s="56" t="n"/>
      <x:c r="T397" s="74" t="n"/>
      <x:c r="U397" s="56" t="n"/>
    </x:row>
    <x:row r="398">
      <x:c r="A398" s="61" t="str">
        <x:f>IF(B398="","","TL-"&amp;TEXT(ROW()-4,"0000"))</x:f>
      </x:c>
      <x:c r="B398" s="79" t="n"/>
      <x:c r="C398" s="61" t="n"/>
      <x:c r="D398" s="63" t="n"/>
      <x:c r="E398" s="61" t="n"/>
      <x:c r="F398" s="61" t="n"/>
      <x:c r="G398" s="61" t="n"/>
      <x:c r="H398" s="61" t="n"/>
      <x:c r="I398" s="61" t="n"/>
      <x:c r="J398" s="61" t="n"/>
      <x:c r="K398" s="61" t="n"/>
      <x:c r="L398" s="63" t="str">
        <x:f>IF(B398="","",173.33)</x:f>
      </x:c>
      <x:c r="M398" s="63" t="str">
        <x:f>IF(OR(D398="",L398=""),"",D398/L398)</x:f>
      </x:c>
      <x:c r="N398" s="82" t="n"/>
      <x:c r="O398" s="82" t="str">
        <x:f>IF(OR(M398="",N398=""),"",M398*N398)</x:f>
      </x:c>
      <x:c r="P398" s="82" t="str">
        <x:f>IF(B398="","",6732)</x:f>
      </x:c>
      <x:c r="Q398" s="82" t="str">
        <x:f>IF(OR(D398="",P398=""),"",D398*P398)</x:f>
      </x:c>
      <x:c r="R398" s="61" t="n"/>
      <x:c r="S398" s="61" t="n"/>
      <x:c r="T398" s="79" t="n"/>
      <x:c r="U398" s="61" t="n"/>
    </x:row>
    <x:row r="399">
      <x:c r="A399" s="56" t="str">
        <x:f>IF(B399="","","TL-"&amp;TEXT(ROW()-4,"0000"))</x:f>
      </x:c>
      <x:c r="B399" s="74" t="n"/>
      <x:c r="C399" s="56" t="n"/>
      <x:c r="D399" s="58" t="n"/>
      <x:c r="E399" s="56" t="n"/>
      <x:c r="F399" s="56" t="n"/>
      <x:c r="G399" s="56" t="n"/>
      <x:c r="H399" s="56" t="n"/>
      <x:c r="I399" s="56" t="n"/>
      <x:c r="J399" s="56" t="n"/>
      <x:c r="K399" s="56" t="n"/>
      <x:c r="L399" s="58" t="str">
        <x:f>IF(B399="","",173.33)</x:f>
      </x:c>
      <x:c r="M399" s="58" t="str">
        <x:f>IF(OR(D399="",L399=""),"",D399/L399)</x:f>
      </x:c>
      <x:c r="N399" s="76" t="n"/>
      <x:c r="O399" s="76" t="str">
        <x:f>IF(OR(M399="",N399=""),"",M399*N399)</x:f>
      </x:c>
      <x:c r="P399" s="76" t="str">
        <x:f>IF(B399="","",6732)</x:f>
      </x:c>
      <x:c r="Q399" s="76" t="str">
        <x:f>IF(OR(D399="",P399=""),"",D399*P399)</x:f>
      </x:c>
      <x:c r="R399" s="56" t="n"/>
      <x:c r="S399" s="56" t="n"/>
      <x:c r="T399" s="74" t="n"/>
      <x:c r="U399" s="56" t="n"/>
    </x:row>
    <x:row r="400">
      <x:c r="A400" s="61" t="str">
        <x:f>IF(B400="","","TL-"&amp;TEXT(ROW()-4,"0000"))</x:f>
      </x:c>
      <x:c r="B400" s="79" t="n"/>
      <x:c r="C400" s="61" t="n"/>
      <x:c r="D400" s="63" t="n"/>
      <x:c r="E400" s="61" t="n"/>
      <x:c r="F400" s="61" t="n"/>
      <x:c r="G400" s="61" t="n"/>
      <x:c r="H400" s="61" t="n"/>
      <x:c r="I400" s="61" t="n"/>
      <x:c r="J400" s="61" t="n"/>
      <x:c r="K400" s="61" t="n"/>
      <x:c r="L400" s="63" t="str">
        <x:f>IF(B400="","",173.33)</x:f>
      </x:c>
      <x:c r="M400" s="63" t="str">
        <x:f>IF(OR(D400="",L400=""),"",D400/L400)</x:f>
      </x:c>
      <x:c r="N400" s="82" t="n"/>
      <x:c r="O400" s="82" t="str">
        <x:f>IF(OR(M400="",N400=""),"",M400*N400)</x:f>
      </x:c>
      <x:c r="P400" s="82" t="str">
        <x:f>IF(B400="","",6732)</x:f>
      </x:c>
      <x:c r="Q400" s="82" t="str">
        <x:f>IF(OR(D400="",P400=""),"",D400*P400)</x:f>
      </x:c>
      <x:c r="R400" s="61" t="n"/>
      <x:c r="S400" s="61" t="n"/>
      <x:c r="T400" s="79" t="n"/>
      <x:c r="U400" s="61" t="n"/>
    </x:row>
    <x:row r="401">
      <x:c r="A401" s="56" t="str">
        <x:f>IF(B401="","","TL-"&amp;TEXT(ROW()-4,"0000"))</x:f>
      </x:c>
      <x:c r="B401" s="74" t="n"/>
      <x:c r="C401" s="56" t="n"/>
      <x:c r="D401" s="58" t="n"/>
      <x:c r="E401" s="56" t="n"/>
      <x:c r="F401" s="56" t="n"/>
      <x:c r="G401" s="56" t="n"/>
      <x:c r="H401" s="56" t="n"/>
      <x:c r="I401" s="56" t="n"/>
      <x:c r="J401" s="56" t="n"/>
      <x:c r="K401" s="56" t="n"/>
      <x:c r="L401" s="58" t="str">
        <x:f>IF(B401="","",173.33)</x:f>
      </x:c>
      <x:c r="M401" s="58" t="str">
        <x:f>IF(OR(D401="",L401=""),"",D401/L401)</x:f>
      </x:c>
      <x:c r="N401" s="76" t="n"/>
      <x:c r="O401" s="76" t="str">
        <x:f>IF(OR(M401="",N401=""),"",M401*N401)</x:f>
      </x:c>
      <x:c r="P401" s="76" t="str">
        <x:f>IF(B401="","",6732)</x:f>
      </x:c>
      <x:c r="Q401" s="76" t="str">
        <x:f>IF(OR(D401="",P401=""),"",D401*P401)</x:f>
      </x:c>
      <x:c r="R401" s="56" t="n"/>
      <x:c r="S401" s="56" t="n"/>
      <x:c r="T401" s="74" t="n"/>
      <x:c r="U401" s="56" t="n"/>
    </x:row>
    <x:row r="402">
      <x:c r="A402" s="61" t="str">
        <x:f>IF(B402="","","TL-"&amp;TEXT(ROW()-4,"0000"))</x:f>
      </x:c>
      <x:c r="B402" s="79" t="n"/>
      <x:c r="C402" s="61" t="n"/>
      <x:c r="D402" s="63" t="n"/>
      <x:c r="E402" s="61" t="n"/>
      <x:c r="F402" s="61" t="n"/>
      <x:c r="G402" s="61" t="n"/>
      <x:c r="H402" s="61" t="n"/>
      <x:c r="I402" s="61" t="n"/>
      <x:c r="J402" s="61" t="n"/>
      <x:c r="K402" s="61" t="n"/>
      <x:c r="L402" s="63" t="str">
        <x:f>IF(B402="","",173.33)</x:f>
      </x:c>
      <x:c r="M402" s="63" t="str">
        <x:f>IF(OR(D402="",L402=""),"",D402/L402)</x:f>
      </x:c>
      <x:c r="N402" s="82" t="n"/>
      <x:c r="O402" s="82" t="str">
        <x:f>IF(OR(M402="",N402=""),"",M402*N402)</x:f>
      </x:c>
      <x:c r="P402" s="82" t="str">
        <x:f>IF(B402="","",6732)</x:f>
      </x:c>
      <x:c r="Q402" s="82" t="str">
        <x:f>IF(OR(D402="",P402=""),"",D402*P402)</x:f>
      </x:c>
      <x:c r="R402" s="61" t="n"/>
      <x:c r="S402" s="61" t="n"/>
      <x:c r="T402" s="79" t="n"/>
      <x:c r="U402" s="61" t="n"/>
    </x:row>
    <x:row r="403">
      <x:c r="A403" s="56" t="str">
        <x:f>IF(B403="","","TL-"&amp;TEXT(ROW()-4,"0000"))</x:f>
      </x:c>
      <x:c r="B403" s="74" t="n"/>
      <x:c r="C403" s="56" t="n"/>
      <x:c r="D403" s="58" t="n"/>
      <x:c r="E403" s="56" t="n"/>
      <x:c r="F403" s="56" t="n"/>
      <x:c r="G403" s="56" t="n"/>
      <x:c r="H403" s="56" t="n"/>
      <x:c r="I403" s="56" t="n"/>
      <x:c r="J403" s="56" t="n"/>
      <x:c r="K403" s="56" t="n"/>
      <x:c r="L403" s="58" t="str">
        <x:f>IF(B403="","",173.33)</x:f>
      </x:c>
      <x:c r="M403" s="58" t="str">
        <x:f>IF(OR(D403="",L403=""),"",D403/L403)</x:f>
      </x:c>
      <x:c r="N403" s="76" t="n"/>
      <x:c r="O403" s="76" t="str">
        <x:f>IF(OR(M403="",N403=""),"",M403*N403)</x:f>
      </x:c>
      <x:c r="P403" s="76" t="str">
        <x:f>IF(B403="","",6732)</x:f>
      </x:c>
      <x:c r="Q403" s="76" t="str">
        <x:f>IF(OR(D403="",P403=""),"",D403*P403)</x:f>
      </x:c>
      <x:c r="R403" s="56" t="n"/>
      <x:c r="S403" s="56" t="n"/>
      <x:c r="T403" s="74" t="n"/>
      <x:c r="U403" s="56" t="n"/>
    </x:row>
    <x:row r="404">
      <x:c r="A404" s="61" t="str">
        <x:f>IF(B404="","","TL-"&amp;TEXT(ROW()-4,"0000"))</x:f>
      </x:c>
      <x:c r="B404" s="79" t="n"/>
      <x:c r="C404" s="61" t="n"/>
      <x:c r="D404" s="63" t="n"/>
      <x:c r="E404" s="61" t="n"/>
      <x:c r="F404" s="61" t="n"/>
      <x:c r="G404" s="61" t="n"/>
      <x:c r="H404" s="61" t="n"/>
      <x:c r="I404" s="61" t="n"/>
      <x:c r="J404" s="61" t="n"/>
      <x:c r="K404" s="61" t="n"/>
      <x:c r="L404" s="63" t="str">
        <x:f>IF(B404="","",173.33)</x:f>
      </x:c>
      <x:c r="M404" s="63" t="str">
        <x:f>IF(OR(D404="",L404=""),"",D404/L404)</x:f>
      </x:c>
      <x:c r="N404" s="82" t="n"/>
      <x:c r="O404" s="82" t="str">
        <x:f>IF(OR(M404="",N404=""),"",M404*N404)</x:f>
      </x:c>
      <x:c r="P404" s="82" t="str">
        <x:f>IF(B404="","",6732)</x:f>
      </x:c>
      <x:c r="Q404" s="82" t="str">
        <x:f>IF(OR(D404="",P404=""),"",D404*P404)</x:f>
      </x:c>
      <x:c r="R404" s="61" t="n"/>
      <x:c r="S404" s="61" t="n"/>
      <x:c r="T404" s="79" t="n"/>
      <x:c r="U404" s="61" t="n"/>
    </x:row>
    <x:row r="405">
      <x:c r="A405" s="56" t="str">
        <x:f>IF(B405="","","TL-"&amp;TEXT(ROW()-4,"0000"))</x:f>
      </x:c>
      <x:c r="B405" s="74" t="n"/>
      <x:c r="C405" s="56" t="n"/>
      <x:c r="D405" s="58" t="n"/>
      <x:c r="E405" s="56" t="n"/>
      <x:c r="F405" s="56" t="n"/>
      <x:c r="G405" s="56" t="n"/>
      <x:c r="H405" s="56" t="n"/>
      <x:c r="I405" s="56" t="n"/>
      <x:c r="J405" s="56" t="n"/>
      <x:c r="K405" s="56" t="n"/>
      <x:c r="L405" s="58" t="str">
        <x:f>IF(B405="","",173.33)</x:f>
      </x:c>
      <x:c r="M405" s="58" t="str">
        <x:f>IF(OR(D405="",L405=""),"",D405/L405)</x:f>
      </x:c>
      <x:c r="N405" s="76" t="n"/>
      <x:c r="O405" s="76" t="str">
        <x:f>IF(OR(M405="",N405=""),"",M405*N405)</x:f>
      </x:c>
      <x:c r="P405" s="76" t="str">
        <x:f>IF(B405="","",6732)</x:f>
      </x:c>
      <x:c r="Q405" s="76" t="str">
        <x:f>IF(OR(D405="",P405=""),"",D405*P405)</x:f>
      </x:c>
      <x:c r="R405" s="56" t="n"/>
      <x:c r="S405" s="56" t="n"/>
      <x:c r="T405" s="74" t="n"/>
      <x:c r="U405" s="56" t="n"/>
    </x:row>
    <x:row r="406">
      <x:c r="A406" s="61" t="str">
        <x:f>IF(B406="","","TL-"&amp;TEXT(ROW()-4,"0000"))</x:f>
      </x:c>
      <x:c r="B406" s="79" t="n"/>
      <x:c r="C406" s="61" t="n"/>
      <x:c r="D406" s="63" t="n"/>
      <x:c r="E406" s="61" t="n"/>
      <x:c r="F406" s="61" t="n"/>
      <x:c r="G406" s="61" t="n"/>
      <x:c r="H406" s="61" t="n"/>
      <x:c r="I406" s="61" t="n"/>
      <x:c r="J406" s="61" t="n"/>
      <x:c r="K406" s="61" t="n"/>
      <x:c r="L406" s="63" t="str">
        <x:f>IF(B406="","",173.33)</x:f>
      </x:c>
      <x:c r="M406" s="63" t="str">
        <x:f>IF(OR(D406="",L406=""),"",D406/L406)</x:f>
      </x:c>
      <x:c r="N406" s="82" t="n"/>
      <x:c r="O406" s="82" t="str">
        <x:f>IF(OR(M406="",N406=""),"",M406*N406)</x:f>
      </x:c>
      <x:c r="P406" s="82" t="str">
        <x:f>IF(B406="","",6732)</x:f>
      </x:c>
      <x:c r="Q406" s="82" t="str">
        <x:f>IF(OR(D406="",P406=""),"",D406*P406)</x:f>
      </x:c>
      <x:c r="R406" s="61" t="n"/>
      <x:c r="S406" s="61" t="n"/>
      <x:c r="T406" s="79" t="n"/>
      <x:c r="U406" s="61" t="n"/>
    </x:row>
    <x:row r="407">
      <x:c r="A407" s="56" t="str">
        <x:f>IF(B407="","","TL-"&amp;TEXT(ROW()-4,"0000"))</x:f>
      </x:c>
      <x:c r="B407" s="74" t="n"/>
      <x:c r="C407" s="56" t="n"/>
      <x:c r="D407" s="58" t="n"/>
      <x:c r="E407" s="56" t="n"/>
      <x:c r="F407" s="56" t="n"/>
      <x:c r="G407" s="56" t="n"/>
      <x:c r="H407" s="56" t="n"/>
      <x:c r="I407" s="56" t="n"/>
      <x:c r="J407" s="56" t="n"/>
      <x:c r="K407" s="56" t="n"/>
      <x:c r="L407" s="58" t="str">
        <x:f>IF(B407="","",173.33)</x:f>
      </x:c>
      <x:c r="M407" s="58" t="str">
        <x:f>IF(OR(D407="",L407=""),"",D407/L407)</x:f>
      </x:c>
      <x:c r="N407" s="76" t="n"/>
      <x:c r="O407" s="76" t="str">
        <x:f>IF(OR(M407="",N407=""),"",M407*N407)</x:f>
      </x:c>
      <x:c r="P407" s="76" t="str">
        <x:f>IF(B407="","",6732)</x:f>
      </x:c>
      <x:c r="Q407" s="76" t="str">
        <x:f>IF(OR(D407="",P407=""),"",D407*P407)</x:f>
      </x:c>
      <x:c r="R407" s="56" t="n"/>
      <x:c r="S407" s="56" t="n"/>
      <x:c r="T407" s="74" t="n"/>
      <x:c r="U407" s="56" t="n"/>
    </x:row>
    <x:row r="408">
      <x:c r="A408" s="61" t="str">
        <x:f>IF(B408="","","TL-"&amp;TEXT(ROW()-4,"0000"))</x:f>
      </x:c>
      <x:c r="B408" s="79" t="n"/>
      <x:c r="C408" s="61" t="n"/>
      <x:c r="D408" s="63" t="n"/>
      <x:c r="E408" s="61" t="n"/>
      <x:c r="F408" s="61" t="n"/>
      <x:c r="G408" s="61" t="n"/>
      <x:c r="H408" s="61" t="n"/>
      <x:c r="I408" s="61" t="n"/>
      <x:c r="J408" s="61" t="n"/>
      <x:c r="K408" s="61" t="n"/>
      <x:c r="L408" s="63" t="str">
        <x:f>IF(B408="","",173.33)</x:f>
      </x:c>
      <x:c r="M408" s="63" t="str">
        <x:f>IF(OR(D408="",L408=""),"",D408/L408)</x:f>
      </x:c>
      <x:c r="N408" s="82" t="n"/>
      <x:c r="O408" s="82" t="str">
        <x:f>IF(OR(M408="",N408=""),"",M408*N408)</x:f>
      </x:c>
      <x:c r="P408" s="82" t="str">
        <x:f>IF(B408="","",6732)</x:f>
      </x:c>
      <x:c r="Q408" s="82" t="str">
        <x:f>IF(OR(D408="",P408=""),"",D408*P408)</x:f>
      </x:c>
      <x:c r="R408" s="61" t="n"/>
      <x:c r="S408" s="61" t="n"/>
      <x:c r="T408" s="79" t="n"/>
      <x:c r="U408" s="61" t="n"/>
    </x:row>
    <x:row r="409">
      <x:c r="A409" s="56" t="str">
        <x:f>IF(B409="","","TL-"&amp;TEXT(ROW()-4,"0000"))</x:f>
      </x:c>
      <x:c r="B409" s="74" t="n"/>
      <x:c r="C409" s="56" t="n"/>
      <x:c r="D409" s="58" t="n"/>
      <x:c r="E409" s="56" t="n"/>
      <x:c r="F409" s="56" t="n"/>
      <x:c r="G409" s="56" t="n"/>
      <x:c r="H409" s="56" t="n"/>
      <x:c r="I409" s="56" t="n"/>
      <x:c r="J409" s="56" t="n"/>
      <x:c r="K409" s="56" t="n"/>
      <x:c r="L409" s="58" t="str">
        <x:f>IF(B409="","",173.33)</x:f>
      </x:c>
      <x:c r="M409" s="58" t="str">
        <x:f>IF(OR(D409="",L409=""),"",D409/L409)</x:f>
      </x:c>
      <x:c r="N409" s="76" t="n"/>
      <x:c r="O409" s="76" t="str">
        <x:f>IF(OR(M409="",N409=""),"",M409*N409)</x:f>
      </x:c>
      <x:c r="P409" s="76" t="str">
        <x:f>IF(B409="","",6732)</x:f>
      </x:c>
      <x:c r="Q409" s="76" t="str">
        <x:f>IF(OR(D409="",P409=""),"",D409*P409)</x:f>
      </x:c>
      <x:c r="R409" s="56" t="n"/>
      <x:c r="S409" s="56" t="n"/>
      <x:c r="T409" s="74" t="n"/>
      <x:c r="U409" s="56" t="n"/>
    </x:row>
    <x:row r="410">
      <x:c r="A410" s="61" t="str">
        <x:f>IF(B410="","","TL-"&amp;TEXT(ROW()-4,"0000"))</x:f>
      </x:c>
      <x:c r="B410" s="79" t="n"/>
      <x:c r="C410" s="61" t="n"/>
      <x:c r="D410" s="63" t="n"/>
      <x:c r="E410" s="61" t="n"/>
      <x:c r="F410" s="61" t="n"/>
      <x:c r="G410" s="61" t="n"/>
      <x:c r="H410" s="61" t="n"/>
      <x:c r="I410" s="61" t="n"/>
      <x:c r="J410" s="61" t="n"/>
      <x:c r="K410" s="61" t="n"/>
      <x:c r="L410" s="63" t="str">
        <x:f>IF(B410="","",173.33)</x:f>
      </x:c>
      <x:c r="M410" s="63" t="str">
        <x:f>IF(OR(D410="",L410=""),"",D410/L410)</x:f>
      </x:c>
      <x:c r="N410" s="82" t="n"/>
      <x:c r="O410" s="82" t="str">
        <x:f>IF(OR(M410="",N410=""),"",M410*N410)</x:f>
      </x:c>
      <x:c r="P410" s="82" t="str">
        <x:f>IF(B410="","",6732)</x:f>
      </x:c>
      <x:c r="Q410" s="82" t="str">
        <x:f>IF(OR(D410="",P410=""),"",D410*P410)</x:f>
      </x:c>
      <x:c r="R410" s="61" t="n"/>
      <x:c r="S410" s="61" t="n"/>
      <x:c r="T410" s="79" t="n"/>
      <x:c r="U410" s="61" t="n"/>
    </x:row>
    <x:row r="411">
      <x:c r="A411" s="56" t="str">
        <x:f>IF(B411="","","TL-"&amp;TEXT(ROW()-4,"0000"))</x:f>
      </x:c>
      <x:c r="B411" s="74" t="n"/>
      <x:c r="C411" s="56" t="n"/>
      <x:c r="D411" s="58" t="n"/>
      <x:c r="E411" s="56" t="n"/>
      <x:c r="F411" s="56" t="n"/>
      <x:c r="G411" s="56" t="n"/>
      <x:c r="H411" s="56" t="n"/>
      <x:c r="I411" s="56" t="n"/>
      <x:c r="J411" s="56" t="n"/>
      <x:c r="K411" s="56" t="n"/>
      <x:c r="L411" s="58" t="str">
        <x:f>IF(B411="","",173.33)</x:f>
      </x:c>
      <x:c r="M411" s="58" t="str">
        <x:f>IF(OR(D411="",L411=""),"",D411/L411)</x:f>
      </x:c>
      <x:c r="N411" s="76" t="n"/>
      <x:c r="O411" s="76" t="str">
        <x:f>IF(OR(M411="",N411=""),"",M411*N411)</x:f>
      </x:c>
      <x:c r="P411" s="76" t="str">
        <x:f>IF(B411="","",6732)</x:f>
      </x:c>
      <x:c r="Q411" s="76" t="str">
        <x:f>IF(OR(D411="",P411=""),"",D411*P411)</x:f>
      </x:c>
      <x:c r="R411" s="56" t="n"/>
      <x:c r="S411" s="56" t="n"/>
      <x:c r="T411" s="74" t="n"/>
      <x:c r="U411" s="56" t="n"/>
    </x:row>
    <x:row r="412">
      <x:c r="A412" s="61" t="str">
        <x:f>IF(B412="","","TL-"&amp;TEXT(ROW()-4,"0000"))</x:f>
      </x:c>
      <x:c r="B412" s="79" t="n"/>
      <x:c r="C412" s="61" t="n"/>
      <x:c r="D412" s="63" t="n"/>
      <x:c r="E412" s="61" t="n"/>
      <x:c r="F412" s="61" t="n"/>
      <x:c r="G412" s="61" t="n"/>
      <x:c r="H412" s="61" t="n"/>
      <x:c r="I412" s="61" t="n"/>
      <x:c r="J412" s="61" t="n"/>
      <x:c r="K412" s="61" t="n"/>
      <x:c r="L412" s="63" t="str">
        <x:f>IF(B412="","",173.33)</x:f>
      </x:c>
      <x:c r="M412" s="63" t="str">
        <x:f>IF(OR(D412="",L412=""),"",D412/L412)</x:f>
      </x:c>
      <x:c r="N412" s="82" t="n"/>
      <x:c r="O412" s="82" t="str">
        <x:f>IF(OR(M412="",N412=""),"",M412*N412)</x:f>
      </x:c>
      <x:c r="P412" s="82" t="str">
        <x:f>IF(B412="","",6732)</x:f>
      </x:c>
      <x:c r="Q412" s="82" t="str">
        <x:f>IF(OR(D412="",P412=""),"",D412*P412)</x:f>
      </x:c>
      <x:c r="R412" s="61" t="n"/>
      <x:c r="S412" s="61" t="n"/>
      <x:c r="T412" s="79" t="n"/>
      <x:c r="U412" s="61" t="n"/>
    </x:row>
    <x:row r="413">
      <x:c r="A413" s="56" t="str">
        <x:f>IF(B413="","","TL-"&amp;TEXT(ROW()-4,"0000"))</x:f>
      </x:c>
      <x:c r="B413" s="74" t="n"/>
      <x:c r="C413" s="56" t="n"/>
      <x:c r="D413" s="58" t="n"/>
      <x:c r="E413" s="56" t="n"/>
      <x:c r="F413" s="56" t="n"/>
      <x:c r="G413" s="56" t="n"/>
      <x:c r="H413" s="56" t="n"/>
      <x:c r="I413" s="56" t="n"/>
      <x:c r="J413" s="56" t="n"/>
      <x:c r="K413" s="56" t="n"/>
      <x:c r="L413" s="58" t="str">
        <x:f>IF(B413="","",173.33)</x:f>
      </x:c>
      <x:c r="M413" s="58" t="str">
        <x:f>IF(OR(D413="",L413=""),"",D413/L413)</x:f>
      </x:c>
      <x:c r="N413" s="76" t="n"/>
      <x:c r="O413" s="76" t="str">
        <x:f>IF(OR(M413="",N413=""),"",M413*N413)</x:f>
      </x:c>
      <x:c r="P413" s="76" t="str">
        <x:f>IF(B413="","",6732)</x:f>
      </x:c>
      <x:c r="Q413" s="76" t="str">
        <x:f>IF(OR(D413="",P413=""),"",D413*P413)</x:f>
      </x:c>
      <x:c r="R413" s="56" t="n"/>
      <x:c r="S413" s="56" t="n"/>
      <x:c r="T413" s="74" t="n"/>
      <x:c r="U413" s="56" t="n"/>
    </x:row>
    <x:row r="414">
      <x:c r="A414" s="61" t="str">
        <x:f>IF(B414="","","TL-"&amp;TEXT(ROW()-4,"0000"))</x:f>
      </x:c>
      <x:c r="B414" s="79" t="n"/>
      <x:c r="C414" s="61" t="n"/>
      <x:c r="D414" s="63" t="n"/>
      <x:c r="E414" s="61" t="n"/>
      <x:c r="F414" s="61" t="n"/>
      <x:c r="G414" s="61" t="n"/>
      <x:c r="H414" s="61" t="n"/>
      <x:c r="I414" s="61" t="n"/>
      <x:c r="J414" s="61" t="n"/>
      <x:c r="K414" s="61" t="n"/>
      <x:c r="L414" s="63" t="str">
        <x:f>IF(B414="","",173.33)</x:f>
      </x:c>
      <x:c r="M414" s="63" t="str">
        <x:f>IF(OR(D414="",L414=""),"",D414/L414)</x:f>
      </x:c>
      <x:c r="N414" s="82" t="n"/>
      <x:c r="O414" s="82" t="str">
        <x:f>IF(OR(M414="",N414=""),"",M414*N414)</x:f>
      </x:c>
      <x:c r="P414" s="82" t="str">
        <x:f>IF(B414="","",6732)</x:f>
      </x:c>
      <x:c r="Q414" s="82" t="str">
        <x:f>IF(OR(D414="",P414=""),"",D414*P414)</x:f>
      </x:c>
      <x:c r="R414" s="61" t="n"/>
      <x:c r="S414" s="61" t="n"/>
      <x:c r="T414" s="79" t="n"/>
      <x:c r="U414" s="61" t="n"/>
    </x:row>
    <x:row r="415">
      <x:c r="A415" s="56" t="str">
        <x:f>IF(B415="","","TL-"&amp;TEXT(ROW()-4,"0000"))</x:f>
      </x:c>
      <x:c r="B415" s="74" t="n"/>
      <x:c r="C415" s="56" t="n"/>
      <x:c r="D415" s="58" t="n"/>
      <x:c r="E415" s="56" t="n"/>
      <x:c r="F415" s="56" t="n"/>
      <x:c r="G415" s="56" t="n"/>
      <x:c r="H415" s="56" t="n"/>
      <x:c r="I415" s="56" t="n"/>
      <x:c r="J415" s="56" t="n"/>
      <x:c r="K415" s="56" t="n"/>
      <x:c r="L415" s="58" t="str">
        <x:f>IF(B415="","",173.33)</x:f>
      </x:c>
      <x:c r="M415" s="58" t="str">
        <x:f>IF(OR(D415="",L415=""),"",D415/L415)</x:f>
      </x:c>
      <x:c r="N415" s="76" t="n"/>
      <x:c r="O415" s="76" t="str">
        <x:f>IF(OR(M415="",N415=""),"",M415*N415)</x:f>
      </x:c>
      <x:c r="P415" s="76" t="str">
        <x:f>IF(B415="","",6732)</x:f>
      </x:c>
      <x:c r="Q415" s="76" t="str">
        <x:f>IF(OR(D415="",P415=""),"",D415*P415)</x:f>
      </x:c>
      <x:c r="R415" s="56" t="n"/>
      <x:c r="S415" s="56" t="n"/>
      <x:c r="T415" s="74" t="n"/>
      <x:c r="U415" s="56" t="n"/>
    </x:row>
    <x:row r="416">
      <x:c r="A416" s="61" t="str">
        <x:f>IF(B416="","","TL-"&amp;TEXT(ROW()-4,"0000"))</x:f>
      </x:c>
      <x:c r="B416" s="79" t="n"/>
      <x:c r="C416" s="61" t="n"/>
      <x:c r="D416" s="63" t="n"/>
      <x:c r="E416" s="61" t="n"/>
      <x:c r="F416" s="61" t="n"/>
      <x:c r="G416" s="61" t="n"/>
      <x:c r="H416" s="61" t="n"/>
      <x:c r="I416" s="61" t="n"/>
      <x:c r="J416" s="61" t="n"/>
      <x:c r="K416" s="61" t="n"/>
      <x:c r="L416" s="63" t="str">
        <x:f>IF(B416="","",173.33)</x:f>
      </x:c>
      <x:c r="M416" s="63" t="str">
        <x:f>IF(OR(D416="",L416=""),"",D416/L416)</x:f>
      </x:c>
      <x:c r="N416" s="82" t="n"/>
      <x:c r="O416" s="82" t="str">
        <x:f>IF(OR(M416="",N416=""),"",M416*N416)</x:f>
      </x:c>
      <x:c r="P416" s="82" t="str">
        <x:f>IF(B416="","",6732)</x:f>
      </x:c>
      <x:c r="Q416" s="82" t="str">
        <x:f>IF(OR(D416="",P416=""),"",D416*P416)</x:f>
      </x:c>
      <x:c r="R416" s="61" t="n"/>
      <x:c r="S416" s="61" t="n"/>
      <x:c r="T416" s="79" t="n"/>
      <x:c r="U416" s="61" t="n"/>
    </x:row>
    <x:row r="417">
      <x:c r="A417" s="56" t="str">
        <x:f>IF(B417="","","TL-"&amp;TEXT(ROW()-4,"0000"))</x:f>
      </x:c>
      <x:c r="B417" s="74" t="n"/>
      <x:c r="C417" s="56" t="n"/>
      <x:c r="D417" s="58" t="n"/>
      <x:c r="E417" s="56" t="n"/>
      <x:c r="F417" s="56" t="n"/>
      <x:c r="G417" s="56" t="n"/>
      <x:c r="H417" s="56" t="n"/>
      <x:c r="I417" s="56" t="n"/>
      <x:c r="J417" s="56" t="n"/>
      <x:c r="K417" s="56" t="n"/>
      <x:c r="L417" s="58" t="str">
        <x:f>IF(B417="","",173.33)</x:f>
      </x:c>
      <x:c r="M417" s="58" t="str">
        <x:f>IF(OR(D417="",L417=""),"",D417/L417)</x:f>
      </x:c>
      <x:c r="N417" s="76" t="n"/>
      <x:c r="O417" s="76" t="str">
        <x:f>IF(OR(M417="",N417=""),"",M417*N417)</x:f>
      </x:c>
      <x:c r="P417" s="76" t="str">
        <x:f>IF(B417="","",6732)</x:f>
      </x:c>
      <x:c r="Q417" s="76" t="str">
        <x:f>IF(OR(D417="",P417=""),"",D417*P417)</x:f>
      </x:c>
      <x:c r="R417" s="56" t="n"/>
      <x:c r="S417" s="56" t="n"/>
      <x:c r="T417" s="74" t="n"/>
      <x:c r="U417" s="56" t="n"/>
    </x:row>
    <x:row r="418">
      <x:c r="A418" s="61" t="str">
        <x:f>IF(B418="","","TL-"&amp;TEXT(ROW()-4,"0000"))</x:f>
      </x:c>
      <x:c r="B418" s="79" t="n"/>
      <x:c r="C418" s="61" t="n"/>
      <x:c r="D418" s="63" t="n"/>
      <x:c r="E418" s="61" t="n"/>
      <x:c r="F418" s="61" t="n"/>
      <x:c r="G418" s="61" t="n"/>
      <x:c r="H418" s="61" t="n"/>
      <x:c r="I418" s="61" t="n"/>
      <x:c r="J418" s="61" t="n"/>
      <x:c r="K418" s="61" t="n"/>
      <x:c r="L418" s="63" t="str">
        <x:f>IF(B418="","",173.33)</x:f>
      </x:c>
      <x:c r="M418" s="63" t="str">
        <x:f>IF(OR(D418="",L418=""),"",D418/L418)</x:f>
      </x:c>
      <x:c r="N418" s="82" t="n"/>
      <x:c r="O418" s="82" t="str">
        <x:f>IF(OR(M418="",N418=""),"",M418*N418)</x:f>
      </x:c>
      <x:c r="P418" s="82" t="str">
        <x:f>IF(B418="","",6732)</x:f>
      </x:c>
      <x:c r="Q418" s="82" t="str">
        <x:f>IF(OR(D418="",P418=""),"",D418*P418)</x:f>
      </x:c>
      <x:c r="R418" s="61" t="n"/>
      <x:c r="S418" s="61" t="n"/>
      <x:c r="T418" s="79" t="n"/>
      <x:c r="U418" s="61" t="n"/>
    </x:row>
    <x:row r="419">
      <x:c r="A419" s="56" t="str">
        <x:f>IF(B419="","","TL-"&amp;TEXT(ROW()-4,"0000"))</x:f>
      </x:c>
      <x:c r="B419" s="74" t="n"/>
      <x:c r="C419" s="56" t="n"/>
      <x:c r="D419" s="58" t="n"/>
      <x:c r="E419" s="56" t="n"/>
      <x:c r="F419" s="56" t="n"/>
      <x:c r="G419" s="56" t="n"/>
      <x:c r="H419" s="56" t="n"/>
      <x:c r="I419" s="56" t="n"/>
      <x:c r="J419" s="56" t="n"/>
      <x:c r="K419" s="56" t="n"/>
      <x:c r="L419" s="58" t="str">
        <x:f>IF(B419="","",173.33)</x:f>
      </x:c>
      <x:c r="M419" s="58" t="str">
        <x:f>IF(OR(D419="",L419=""),"",D419/L419)</x:f>
      </x:c>
      <x:c r="N419" s="76" t="n"/>
      <x:c r="O419" s="76" t="str">
        <x:f>IF(OR(M419="",N419=""),"",M419*N419)</x:f>
      </x:c>
      <x:c r="P419" s="76" t="str">
        <x:f>IF(B419="","",6732)</x:f>
      </x:c>
      <x:c r="Q419" s="76" t="str">
        <x:f>IF(OR(D419="",P419=""),"",D419*P419)</x:f>
      </x:c>
      <x:c r="R419" s="56" t="n"/>
      <x:c r="S419" s="56" t="n"/>
      <x:c r="T419" s="74" t="n"/>
      <x:c r="U419" s="56" t="n"/>
    </x:row>
    <x:row r="420">
      <x:c r="A420" s="61" t="str">
        <x:f>IF(B420="","","TL-"&amp;TEXT(ROW()-4,"0000"))</x:f>
      </x:c>
      <x:c r="B420" s="79" t="n"/>
      <x:c r="C420" s="61" t="n"/>
      <x:c r="D420" s="63" t="n"/>
      <x:c r="E420" s="61" t="n"/>
      <x:c r="F420" s="61" t="n"/>
      <x:c r="G420" s="61" t="n"/>
      <x:c r="H420" s="61" t="n"/>
      <x:c r="I420" s="61" t="n"/>
      <x:c r="J420" s="61" t="n"/>
      <x:c r="K420" s="61" t="n"/>
      <x:c r="L420" s="63" t="str">
        <x:f>IF(B420="","",173.33)</x:f>
      </x:c>
      <x:c r="M420" s="63" t="str">
        <x:f>IF(OR(D420="",L420=""),"",D420/L420)</x:f>
      </x:c>
      <x:c r="N420" s="82" t="n"/>
      <x:c r="O420" s="82" t="str">
        <x:f>IF(OR(M420="",N420=""),"",M420*N420)</x:f>
      </x:c>
      <x:c r="P420" s="82" t="str">
        <x:f>IF(B420="","",6732)</x:f>
      </x:c>
      <x:c r="Q420" s="82" t="str">
        <x:f>IF(OR(D420="",P420=""),"",D420*P420)</x:f>
      </x:c>
      <x:c r="R420" s="61" t="n"/>
      <x:c r="S420" s="61" t="n"/>
      <x:c r="T420" s="79" t="n"/>
      <x:c r="U420" s="61" t="n"/>
    </x:row>
    <x:row r="421">
      <x:c r="A421" s="56" t="str">
        <x:f>IF(B421="","","TL-"&amp;TEXT(ROW()-4,"0000"))</x:f>
      </x:c>
      <x:c r="B421" s="74" t="n"/>
      <x:c r="C421" s="56" t="n"/>
      <x:c r="D421" s="58" t="n"/>
      <x:c r="E421" s="56" t="n"/>
      <x:c r="F421" s="56" t="n"/>
      <x:c r="G421" s="56" t="n"/>
      <x:c r="H421" s="56" t="n"/>
      <x:c r="I421" s="56" t="n"/>
      <x:c r="J421" s="56" t="n"/>
      <x:c r="K421" s="56" t="n"/>
      <x:c r="L421" s="58" t="str">
        <x:f>IF(B421="","",173.33)</x:f>
      </x:c>
      <x:c r="M421" s="58" t="str">
        <x:f>IF(OR(D421="",L421=""),"",D421/L421)</x:f>
      </x:c>
      <x:c r="N421" s="76" t="n"/>
      <x:c r="O421" s="76" t="str">
        <x:f>IF(OR(M421="",N421=""),"",M421*N421)</x:f>
      </x:c>
      <x:c r="P421" s="76" t="str">
        <x:f>IF(B421="","",6732)</x:f>
      </x:c>
      <x:c r="Q421" s="76" t="str">
        <x:f>IF(OR(D421="",P421=""),"",D421*P421)</x:f>
      </x:c>
      <x:c r="R421" s="56" t="n"/>
      <x:c r="S421" s="56" t="n"/>
      <x:c r="T421" s="74" t="n"/>
      <x:c r="U421" s="56" t="n"/>
    </x:row>
    <x:row r="422">
      <x:c r="A422" s="61" t="str">
        <x:f>IF(B422="","","TL-"&amp;TEXT(ROW()-4,"0000"))</x:f>
      </x:c>
      <x:c r="B422" s="79" t="n"/>
      <x:c r="C422" s="61" t="n"/>
      <x:c r="D422" s="63" t="n"/>
      <x:c r="E422" s="61" t="n"/>
      <x:c r="F422" s="61" t="n"/>
      <x:c r="G422" s="61" t="n"/>
      <x:c r="H422" s="61" t="n"/>
      <x:c r="I422" s="61" t="n"/>
      <x:c r="J422" s="61" t="n"/>
      <x:c r="K422" s="61" t="n"/>
      <x:c r="L422" s="63" t="str">
        <x:f>IF(B422="","",173.33)</x:f>
      </x:c>
      <x:c r="M422" s="63" t="str">
        <x:f>IF(OR(D422="",L422=""),"",D422/L422)</x:f>
      </x:c>
      <x:c r="N422" s="82" t="n"/>
      <x:c r="O422" s="82" t="str">
        <x:f>IF(OR(M422="",N422=""),"",M422*N422)</x:f>
      </x:c>
      <x:c r="P422" s="82" t="str">
        <x:f>IF(B422="","",6732)</x:f>
      </x:c>
      <x:c r="Q422" s="82" t="str">
        <x:f>IF(OR(D422="",P422=""),"",D422*P422)</x:f>
      </x:c>
      <x:c r="R422" s="61" t="n"/>
      <x:c r="S422" s="61" t="n"/>
      <x:c r="T422" s="79" t="n"/>
      <x:c r="U422" s="61" t="n"/>
    </x:row>
    <x:row r="423">
      <x:c r="A423" s="56" t="str">
        <x:f>IF(B423="","","TL-"&amp;TEXT(ROW()-4,"0000"))</x:f>
      </x:c>
      <x:c r="B423" s="74" t="n"/>
      <x:c r="C423" s="56" t="n"/>
      <x:c r="D423" s="58" t="n"/>
      <x:c r="E423" s="56" t="n"/>
      <x:c r="F423" s="56" t="n"/>
      <x:c r="G423" s="56" t="n"/>
      <x:c r="H423" s="56" t="n"/>
      <x:c r="I423" s="56" t="n"/>
      <x:c r="J423" s="56" t="n"/>
      <x:c r="K423" s="56" t="n"/>
      <x:c r="L423" s="58" t="str">
        <x:f>IF(B423="","",173.33)</x:f>
      </x:c>
      <x:c r="M423" s="58" t="str">
        <x:f>IF(OR(D423="",L423=""),"",D423/L423)</x:f>
      </x:c>
      <x:c r="N423" s="76" t="n"/>
      <x:c r="O423" s="76" t="str">
        <x:f>IF(OR(M423="",N423=""),"",M423*N423)</x:f>
      </x:c>
      <x:c r="P423" s="76" t="str">
        <x:f>IF(B423="","",6732)</x:f>
      </x:c>
      <x:c r="Q423" s="76" t="str">
        <x:f>IF(OR(D423="",P423=""),"",D423*P423)</x:f>
      </x:c>
      <x:c r="R423" s="56" t="n"/>
      <x:c r="S423" s="56" t="n"/>
      <x:c r="T423" s="74" t="n"/>
      <x:c r="U423" s="56" t="n"/>
    </x:row>
    <x:row r="424">
      <x:c r="A424" s="61" t="str">
        <x:f>IF(B424="","","TL-"&amp;TEXT(ROW()-4,"0000"))</x:f>
      </x:c>
      <x:c r="B424" s="79" t="n"/>
      <x:c r="C424" s="61" t="n"/>
      <x:c r="D424" s="63" t="n"/>
      <x:c r="E424" s="61" t="n"/>
      <x:c r="F424" s="61" t="n"/>
      <x:c r="G424" s="61" t="n"/>
      <x:c r="H424" s="61" t="n"/>
      <x:c r="I424" s="61" t="n"/>
      <x:c r="J424" s="61" t="n"/>
      <x:c r="K424" s="61" t="n"/>
      <x:c r="L424" s="63" t="str">
        <x:f>IF(B424="","",173.33)</x:f>
      </x:c>
      <x:c r="M424" s="63" t="str">
        <x:f>IF(OR(D424="",L424=""),"",D424/L424)</x:f>
      </x:c>
      <x:c r="N424" s="82" t="n"/>
      <x:c r="O424" s="82" t="str">
        <x:f>IF(OR(M424="",N424=""),"",M424*N424)</x:f>
      </x:c>
      <x:c r="P424" s="82" t="str">
        <x:f>IF(B424="","",6732)</x:f>
      </x:c>
      <x:c r="Q424" s="82" t="str">
        <x:f>IF(OR(D424="",P424=""),"",D424*P424)</x:f>
      </x:c>
      <x:c r="R424" s="61" t="n"/>
      <x:c r="S424" s="61" t="n"/>
      <x:c r="T424" s="79" t="n"/>
      <x:c r="U424" s="61" t="n"/>
    </x:row>
    <x:row r="425">
      <x:c r="A425" s="56" t="str">
        <x:f>IF(B425="","","TL-"&amp;TEXT(ROW()-4,"0000"))</x:f>
      </x:c>
      <x:c r="B425" s="74" t="n"/>
      <x:c r="C425" s="56" t="n"/>
      <x:c r="D425" s="58" t="n"/>
      <x:c r="E425" s="56" t="n"/>
      <x:c r="F425" s="56" t="n"/>
      <x:c r="G425" s="56" t="n"/>
      <x:c r="H425" s="56" t="n"/>
      <x:c r="I425" s="56" t="n"/>
      <x:c r="J425" s="56" t="n"/>
      <x:c r="K425" s="56" t="n"/>
      <x:c r="L425" s="58" t="str">
        <x:f>IF(B425="","",173.33)</x:f>
      </x:c>
      <x:c r="M425" s="58" t="str">
        <x:f>IF(OR(D425="",L425=""),"",D425/L425)</x:f>
      </x:c>
      <x:c r="N425" s="76" t="n"/>
      <x:c r="O425" s="76" t="str">
        <x:f>IF(OR(M425="",N425=""),"",M425*N425)</x:f>
      </x:c>
      <x:c r="P425" s="76" t="str">
        <x:f>IF(B425="","",6732)</x:f>
      </x:c>
      <x:c r="Q425" s="76" t="str">
        <x:f>IF(OR(D425="",P425=""),"",D425*P425)</x:f>
      </x:c>
      <x:c r="R425" s="56" t="n"/>
      <x:c r="S425" s="56" t="n"/>
      <x:c r="T425" s="74" t="n"/>
      <x:c r="U425" s="56" t="n"/>
    </x:row>
    <x:row r="426">
      <x:c r="A426" s="61" t="str">
        <x:f>IF(B426="","","TL-"&amp;TEXT(ROW()-4,"0000"))</x:f>
      </x:c>
      <x:c r="B426" s="79" t="n"/>
      <x:c r="C426" s="61" t="n"/>
      <x:c r="D426" s="63" t="n"/>
      <x:c r="E426" s="61" t="n"/>
      <x:c r="F426" s="61" t="n"/>
      <x:c r="G426" s="61" t="n"/>
      <x:c r="H426" s="61" t="n"/>
      <x:c r="I426" s="61" t="n"/>
      <x:c r="J426" s="61" t="n"/>
      <x:c r="K426" s="61" t="n"/>
      <x:c r="L426" s="63" t="str">
        <x:f>IF(B426="","",173.33)</x:f>
      </x:c>
      <x:c r="M426" s="63" t="str">
        <x:f>IF(OR(D426="",L426=""),"",D426/L426)</x:f>
      </x:c>
      <x:c r="N426" s="82" t="n"/>
      <x:c r="O426" s="82" t="str">
        <x:f>IF(OR(M426="",N426=""),"",M426*N426)</x:f>
      </x:c>
      <x:c r="P426" s="82" t="str">
        <x:f>IF(B426="","",6732)</x:f>
      </x:c>
      <x:c r="Q426" s="82" t="str">
        <x:f>IF(OR(D426="",P426=""),"",D426*P426)</x:f>
      </x:c>
      <x:c r="R426" s="61" t="n"/>
      <x:c r="S426" s="61" t="n"/>
      <x:c r="T426" s="79" t="n"/>
      <x:c r="U426" s="61" t="n"/>
    </x:row>
    <x:row r="427">
      <x:c r="A427" s="56" t="str">
        <x:f>IF(B427="","","TL-"&amp;TEXT(ROW()-4,"0000"))</x:f>
      </x:c>
      <x:c r="B427" s="74" t="n"/>
      <x:c r="C427" s="56" t="n"/>
      <x:c r="D427" s="58" t="n"/>
      <x:c r="E427" s="56" t="n"/>
      <x:c r="F427" s="56" t="n"/>
      <x:c r="G427" s="56" t="n"/>
      <x:c r="H427" s="56" t="n"/>
      <x:c r="I427" s="56" t="n"/>
      <x:c r="J427" s="56" t="n"/>
      <x:c r="K427" s="56" t="n"/>
      <x:c r="L427" s="58" t="str">
        <x:f>IF(B427="","",173.33)</x:f>
      </x:c>
      <x:c r="M427" s="58" t="str">
        <x:f>IF(OR(D427="",L427=""),"",D427/L427)</x:f>
      </x:c>
      <x:c r="N427" s="76" t="n"/>
      <x:c r="O427" s="76" t="str">
        <x:f>IF(OR(M427="",N427=""),"",M427*N427)</x:f>
      </x:c>
      <x:c r="P427" s="76" t="str">
        <x:f>IF(B427="","",6732)</x:f>
      </x:c>
      <x:c r="Q427" s="76" t="str">
        <x:f>IF(OR(D427="",P427=""),"",D427*P427)</x:f>
      </x:c>
      <x:c r="R427" s="56" t="n"/>
      <x:c r="S427" s="56" t="n"/>
      <x:c r="T427" s="74" t="n"/>
      <x:c r="U427" s="56" t="n"/>
    </x:row>
    <x:row r="428">
      <x:c r="A428" s="61" t="str">
        <x:f>IF(B428="","","TL-"&amp;TEXT(ROW()-4,"0000"))</x:f>
      </x:c>
      <x:c r="B428" s="79" t="n"/>
      <x:c r="C428" s="61" t="n"/>
      <x:c r="D428" s="63" t="n"/>
      <x:c r="E428" s="61" t="n"/>
      <x:c r="F428" s="61" t="n"/>
      <x:c r="G428" s="61" t="n"/>
      <x:c r="H428" s="61" t="n"/>
      <x:c r="I428" s="61" t="n"/>
      <x:c r="J428" s="61" t="n"/>
      <x:c r="K428" s="61" t="n"/>
      <x:c r="L428" s="63" t="str">
        <x:f>IF(B428="","",173.33)</x:f>
      </x:c>
      <x:c r="M428" s="63" t="str">
        <x:f>IF(OR(D428="",L428=""),"",D428/L428)</x:f>
      </x:c>
      <x:c r="N428" s="82" t="n"/>
      <x:c r="O428" s="82" t="str">
        <x:f>IF(OR(M428="",N428=""),"",M428*N428)</x:f>
      </x:c>
      <x:c r="P428" s="82" t="str">
        <x:f>IF(B428="","",6732)</x:f>
      </x:c>
      <x:c r="Q428" s="82" t="str">
        <x:f>IF(OR(D428="",P428=""),"",D428*P428)</x:f>
      </x:c>
      <x:c r="R428" s="61" t="n"/>
      <x:c r="S428" s="61" t="n"/>
      <x:c r="T428" s="79" t="n"/>
      <x:c r="U428" s="61" t="n"/>
    </x:row>
    <x:row r="429">
      <x:c r="A429" s="56" t="str">
        <x:f>IF(B429="","","TL-"&amp;TEXT(ROW()-4,"0000"))</x:f>
      </x:c>
      <x:c r="B429" s="74" t="n"/>
      <x:c r="C429" s="56" t="n"/>
      <x:c r="D429" s="58" t="n"/>
      <x:c r="E429" s="56" t="n"/>
      <x:c r="F429" s="56" t="n"/>
      <x:c r="G429" s="56" t="n"/>
      <x:c r="H429" s="56" t="n"/>
      <x:c r="I429" s="56" t="n"/>
      <x:c r="J429" s="56" t="n"/>
      <x:c r="K429" s="56" t="n"/>
      <x:c r="L429" s="58" t="str">
        <x:f>IF(B429="","",173.33)</x:f>
      </x:c>
      <x:c r="M429" s="58" t="str">
        <x:f>IF(OR(D429="",L429=""),"",D429/L429)</x:f>
      </x:c>
      <x:c r="N429" s="76" t="n"/>
      <x:c r="O429" s="76" t="str">
        <x:f>IF(OR(M429="",N429=""),"",M429*N429)</x:f>
      </x:c>
      <x:c r="P429" s="76" t="str">
        <x:f>IF(B429="","",6732)</x:f>
      </x:c>
      <x:c r="Q429" s="76" t="str">
        <x:f>IF(OR(D429="",P429=""),"",D429*P429)</x:f>
      </x:c>
      <x:c r="R429" s="56" t="n"/>
      <x:c r="S429" s="56" t="n"/>
      <x:c r="T429" s="74" t="n"/>
      <x:c r="U429" s="56" t="n"/>
    </x:row>
    <x:row r="430">
      <x:c r="A430" s="61" t="str">
        <x:f>IF(B430="","","TL-"&amp;TEXT(ROW()-4,"0000"))</x:f>
      </x:c>
      <x:c r="B430" s="79" t="n"/>
      <x:c r="C430" s="61" t="n"/>
      <x:c r="D430" s="63" t="n"/>
      <x:c r="E430" s="61" t="n"/>
      <x:c r="F430" s="61" t="n"/>
      <x:c r="G430" s="61" t="n"/>
      <x:c r="H430" s="61" t="n"/>
      <x:c r="I430" s="61" t="n"/>
      <x:c r="J430" s="61" t="n"/>
      <x:c r="K430" s="61" t="n"/>
      <x:c r="L430" s="63" t="str">
        <x:f>IF(B430="","",173.33)</x:f>
      </x:c>
      <x:c r="M430" s="63" t="str">
        <x:f>IF(OR(D430="",L430=""),"",D430/L430)</x:f>
      </x:c>
      <x:c r="N430" s="82" t="n"/>
      <x:c r="O430" s="82" t="str">
        <x:f>IF(OR(M430="",N430=""),"",M430*N430)</x:f>
      </x:c>
      <x:c r="P430" s="82" t="str">
        <x:f>IF(B430="","",6732)</x:f>
      </x:c>
      <x:c r="Q430" s="82" t="str">
        <x:f>IF(OR(D430="",P430=""),"",D430*P430)</x:f>
      </x:c>
      <x:c r="R430" s="61" t="n"/>
      <x:c r="S430" s="61" t="n"/>
      <x:c r="T430" s="79" t="n"/>
      <x:c r="U430" s="61" t="n"/>
    </x:row>
    <x:row r="431">
      <x:c r="A431" s="56" t="str">
        <x:f>IF(B431="","","TL-"&amp;TEXT(ROW()-4,"0000"))</x:f>
      </x:c>
      <x:c r="B431" s="74" t="n"/>
      <x:c r="C431" s="56" t="n"/>
      <x:c r="D431" s="58" t="n"/>
      <x:c r="E431" s="56" t="n"/>
      <x:c r="F431" s="56" t="n"/>
      <x:c r="G431" s="56" t="n"/>
      <x:c r="H431" s="56" t="n"/>
      <x:c r="I431" s="56" t="n"/>
      <x:c r="J431" s="56" t="n"/>
      <x:c r="K431" s="56" t="n"/>
      <x:c r="L431" s="58" t="str">
        <x:f>IF(B431="","",173.33)</x:f>
      </x:c>
      <x:c r="M431" s="58" t="str">
        <x:f>IF(OR(D431="",L431=""),"",D431/L431)</x:f>
      </x:c>
      <x:c r="N431" s="76" t="n"/>
      <x:c r="O431" s="76" t="str">
        <x:f>IF(OR(M431="",N431=""),"",M431*N431)</x:f>
      </x:c>
      <x:c r="P431" s="76" t="str">
        <x:f>IF(B431="","",6732)</x:f>
      </x:c>
      <x:c r="Q431" s="76" t="str">
        <x:f>IF(OR(D431="",P431=""),"",D431*P431)</x:f>
      </x:c>
      <x:c r="R431" s="56" t="n"/>
      <x:c r="S431" s="56" t="n"/>
      <x:c r="T431" s="74" t="n"/>
      <x:c r="U431" s="56" t="n"/>
    </x:row>
    <x:row r="432">
      <x:c r="A432" s="61" t="str">
        <x:f>IF(B432="","","TL-"&amp;TEXT(ROW()-4,"0000"))</x:f>
      </x:c>
      <x:c r="B432" s="79" t="n"/>
      <x:c r="C432" s="61" t="n"/>
      <x:c r="D432" s="63" t="n"/>
      <x:c r="E432" s="61" t="n"/>
      <x:c r="F432" s="61" t="n"/>
      <x:c r="G432" s="61" t="n"/>
      <x:c r="H432" s="61" t="n"/>
      <x:c r="I432" s="61" t="n"/>
      <x:c r="J432" s="61" t="n"/>
      <x:c r="K432" s="61" t="n"/>
      <x:c r="L432" s="63" t="str">
        <x:f>IF(B432="","",173.33)</x:f>
      </x:c>
      <x:c r="M432" s="63" t="str">
        <x:f>IF(OR(D432="",L432=""),"",D432/L432)</x:f>
      </x:c>
      <x:c r="N432" s="82" t="n"/>
      <x:c r="O432" s="82" t="str">
        <x:f>IF(OR(M432="",N432=""),"",M432*N432)</x:f>
      </x:c>
      <x:c r="P432" s="82" t="str">
        <x:f>IF(B432="","",6732)</x:f>
      </x:c>
      <x:c r="Q432" s="82" t="str">
        <x:f>IF(OR(D432="",P432=""),"",D432*P432)</x:f>
      </x:c>
      <x:c r="R432" s="61" t="n"/>
      <x:c r="S432" s="61" t="n"/>
      <x:c r="T432" s="79" t="n"/>
      <x:c r="U432" s="61" t="n"/>
    </x:row>
    <x:row r="433">
      <x:c r="A433" s="56" t="str">
        <x:f>IF(B433="","","TL-"&amp;TEXT(ROW()-4,"0000"))</x:f>
      </x:c>
      <x:c r="B433" s="74" t="n"/>
      <x:c r="C433" s="56" t="n"/>
      <x:c r="D433" s="58" t="n"/>
      <x:c r="E433" s="56" t="n"/>
      <x:c r="F433" s="56" t="n"/>
      <x:c r="G433" s="56" t="n"/>
      <x:c r="H433" s="56" t="n"/>
      <x:c r="I433" s="56" t="n"/>
      <x:c r="J433" s="56" t="n"/>
      <x:c r="K433" s="56" t="n"/>
      <x:c r="L433" s="58" t="str">
        <x:f>IF(B433="","",173.33)</x:f>
      </x:c>
      <x:c r="M433" s="58" t="str">
        <x:f>IF(OR(D433="",L433=""),"",D433/L433)</x:f>
      </x:c>
      <x:c r="N433" s="76" t="n"/>
      <x:c r="O433" s="76" t="str">
        <x:f>IF(OR(M433="",N433=""),"",M433*N433)</x:f>
      </x:c>
      <x:c r="P433" s="76" t="str">
        <x:f>IF(B433="","",6732)</x:f>
      </x:c>
      <x:c r="Q433" s="76" t="str">
        <x:f>IF(OR(D433="",P433=""),"",D433*P433)</x:f>
      </x:c>
      <x:c r="R433" s="56" t="n"/>
      <x:c r="S433" s="56" t="n"/>
      <x:c r="T433" s="74" t="n"/>
      <x:c r="U433" s="56" t="n"/>
    </x:row>
    <x:row r="434">
      <x:c r="A434" s="61" t="str">
        <x:f>IF(B434="","","TL-"&amp;TEXT(ROW()-4,"0000"))</x:f>
      </x:c>
      <x:c r="B434" s="79" t="n"/>
      <x:c r="C434" s="61" t="n"/>
      <x:c r="D434" s="63" t="n"/>
      <x:c r="E434" s="61" t="n"/>
      <x:c r="F434" s="61" t="n"/>
      <x:c r="G434" s="61" t="n"/>
      <x:c r="H434" s="61" t="n"/>
      <x:c r="I434" s="61" t="n"/>
      <x:c r="J434" s="61" t="n"/>
      <x:c r="K434" s="61" t="n"/>
      <x:c r="L434" s="63" t="str">
        <x:f>IF(B434="","",173.33)</x:f>
      </x:c>
      <x:c r="M434" s="63" t="str">
        <x:f>IF(OR(D434="",L434=""),"",D434/L434)</x:f>
      </x:c>
      <x:c r="N434" s="82" t="n"/>
      <x:c r="O434" s="82" t="str">
        <x:f>IF(OR(M434="",N434=""),"",M434*N434)</x:f>
      </x:c>
      <x:c r="P434" s="82" t="str">
        <x:f>IF(B434="","",6732)</x:f>
      </x:c>
      <x:c r="Q434" s="82" t="str">
        <x:f>IF(OR(D434="",P434=""),"",D434*P434)</x:f>
      </x:c>
      <x:c r="R434" s="61" t="n"/>
      <x:c r="S434" s="61" t="n"/>
      <x:c r="T434" s="79" t="n"/>
      <x:c r="U434" s="61" t="n"/>
    </x:row>
    <x:row r="435">
      <x:c r="A435" s="56" t="str">
        <x:f>IF(B435="","","TL-"&amp;TEXT(ROW()-4,"0000"))</x:f>
      </x:c>
      <x:c r="B435" s="74" t="n"/>
      <x:c r="C435" s="56" t="n"/>
      <x:c r="D435" s="58" t="n"/>
      <x:c r="E435" s="56" t="n"/>
      <x:c r="F435" s="56" t="n"/>
      <x:c r="G435" s="56" t="n"/>
      <x:c r="H435" s="56" t="n"/>
      <x:c r="I435" s="56" t="n"/>
      <x:c r="J435" s="56" t="n"/>
      <x:c r="K435" s="56" t="n"/>
      <x:c r="L435" s="58" t="str">
        <x:f>IF(B435="","",173.33)</x:f>
      </x:c>
      <x:c r="M435" s="58" t="str">
        <x:f>IF(OR(D435="",L435=""),"",D435/L435)</x:f>
      </x:c>
      <x:c r="N435" s="76" t="n"/>
      <x:c r="O435" s="76" t="str">
        <x:f>IF(OR(M435="",N435=""),"",M435*N435)</x:f>
      </x:c>
      <x:c r="P435" s="76" t="str">
        <x:f>IF(B435="","",6732)</x:f>
      </x:c>
      <x:c r="Q435" s="76" t="str">
        <x:f>IF(OR(D435="",P435=""),"",D435*P435)</x:f>
      </x:c>
      <x:c r="R435" s="56" t="n"/>
      <x:c r="S435" s="56" t="n"/>
      <x:c r="T435" s="74" t="n"/>
      <x:c r="U435" s="56" t="n"/>
    </x:row>
    <x:row r="436">
      <x:c r="A436" s="61" t="str">
        <x:f>IF(B436="","","TL-"&amp;TEXT(ROW()-4,"0000"))</x:f>
      </x:c>
      <x:c r="B436" s="79" t="n"/>
      <x:c r="C436" s="61" t="n"/>
      <x:c r="D436" s="63" t="n"/>
      <x:c r="E436" s="61" t="n"/>
      <x:c r="F436" s="61" t="n"/>
      <x:c r="G436" s="61" t="n"/>
      <x:c r="H436" s="61" t="n"/>
      <x:c r="I436" s="61" t="n"/>
      <x:c r="J436" s="61" t="n"/>
      <x:c r="K436" s="61" t="n"/>
      <x:c r="L436" s="63" t="str">
        <x:f>IF(B436="","",173.33)</x:f>
      </x:c>
      <x:c r="M436" s="63" t="str">
        <x:f>IF(OR(D436="",L436=""),"",D436/L436)</x:f>
      </x:c>
      <x:c r="N436" s="82" t="n"/>
      <x:c r="O436" s="82" t="str">
        <x:f>IF(OR(M436="",N436=""),"",M436*N436)</x:f>
      </x:c>
      <x:c r="P436" s="82" t="str">
        <x:f>IF(B436="","",6732)</x:f>
      </x:c>
      <x:c r="Q436" s="82" t="str">
        <x:f>IF(OR(D436="",P436=""),"",D436*P436)</x:f>
      </x:c>
      <x:c r="R436" s="61" t="n"/>
      <x:c r="S436" s="61" t="n"/>
      <x:c r="T436" s="79" t="n"/>
      <x:c r="U436" s="61" t="n"/>
    </x:row>
    <x:row r="437">
      <x:c r="A437" s="56" t="str">
        <x:f>IF(B437="","","TL-"&amp;TEXT(ROW()-4,"0000"))</x:f>
      </x:c>
      <x:c r="B437" s="74" t="n"/>
      <x:c r="C437" s="56" t="n"/>
      <x:c r="D437" s="58" t="n"/>
      <x:c r="E437" s="56" t="n"/>
      <x:c r="F437" s="56" t="n"/>
      <x:c r="G437" s="56" t="n"/>
      <x:c r="H437" s="56" t="n"/>
      <x:c r="I437" s="56" t="n"/>
      <x:c r="J437" s="56" t="n"/>
      <x:c r="K437" s="56" t="n"/>
      <x:c r="L437" s="58" t="str">
        <x:f>IF(B437="","",173.33)</x:f>
      </x:c>
      <x:c r="M437" s="58" t="str">
        <x:f>IF(OR(D437="",L437=""),"",D437/L437)</x:f>
      </x:c>
      <x:c r="N437" s="76" t="n"/>
      <x:c r="O437" s="76" t="str">
        <x:f>IF(OR(M437="",N437=""),"",M437*N437)</x:f>
      </x:c>
      <x:c r="P437" s="76" t="str">
        <x:f>IF(B437="","",6732)</x:f>
      </x:c>
      <x:c r="Q437" s="76" t="str">
        <x:f>IF(OR(D437="",P437=""),"",D437*P437)</x:f>
      </x:c>
      <x:c r="R437" s="56" t="n"/>
      <x:c r="S437" s="56" t="n"/>
      <x:c r="T437" s="74" t="n"/>
      <x:c r="U437" s="56" t="n"/>
    </x:row>
    <x:row r="438">
      <x:c r="A438" s="61" t="str">
        <x:f>IF(B438="","","TL-"&amp;TEXT(ROW()-4,"0000"))</x:f>
      </x:c>
      <x:c r="B438" s="79" t="n"/>
      <x:c r="C438" s="61" t="n"/>
      <x:c r="D438" s="63" t="n"/>
      <x:c r="E438" s="61" t="n"/>
      <x:c r="F438" s="61" t="n"/>
      <x:c r="G438" s="61" t="n"/>
      <x:c r="H438" s="61" t="n"/>
      <x:c r="I438" s="61" t="n"/>
      <x:c r="J438" s="61" t="n"/>
      <x:c r="K438" s="61" t="n"/>
      <x:c r="L438" s="63" t="str">
        <x:f>IF(B438="","",173.33)</x:f>
      </x:c>
      <x:c r="M438" s="63" t="str">
        <x:f>IF(OR(D438="",L438=""),"",D438/L438)</x:f>
      </x:c>
      <x:c r="N438" s="82" t="n"/>
      <x:c r="O438" s="82" t="str">
        <x:f>IF(OR(M438="",N438=""),"",M438*N438)</x:f>
      </x:c>
      <x:c r="P438" s="82" t="str">
        <x:f>IF(B438="","",6732)</x:f>
      </x:c>
      <x:c r="Q438" s="82" t="str">
        <x:f>IF(OR(D438="",P438=""),"",D438*P438)</x:f>
      </x:c>
      <x:c r="R438" s="61" t="n"/>
      <x:c r="S438" s="61" t="n"/>
      <x:c r="T438" s="79" t="n"/>
      <x:c r="U438" s="61" t="n"/>
    </x:row>
    <x:row r="439">
      <x:c r="A439" s="56" t="str">
        <x:f>IF(B439="","","TL-"&amp;TEXT(ROW()-4,"0000"))</x:f>
      </x:c>
      <x:c r="B439" s="74" t="n"/>
      <x:c r="C439" s="56" t="n"/>
      <x:c r="D439" s="58" t="n"/>
      <x:c r="E439" s="56" t="n"/>
      <x:c r="F439" s="56" t="n"/>
      <x:c r="G439" s="56" t="n"/>
      <x:c r="H439" s="56" t="n"/>
      <x:c r="I439" s="56" t="n"/>
      <x:c r="J439" s="56" t="n"/>
      <x:c r="K439" s="56" t="n"/>
      <x:c r="L439" s="58" t="str">
        <x:f>IF(B439="","",173.33)</x:f>
      </x:c>
      <x:c r="M439" s="58" t="str">
        <x:f>IF(OR(D439="",L439=""),"",D439/L439)</x:f>
      </x:c>
      <x:c r="N439" s="76" t="n"/>
      <x:c r="O439" s="76" t="str">
        <x:f>IF(OR(M439="",N439=""),"",M439*N439)</x:f>
      </x:c>
      <x:c r="P439" s="76" t="str">
        <x:f>IF(B439="","",6732)</x:f>
      </x:c>
      <x:c r="Q439" s="76" t="str">
        <x:f>IF(OR(D439="",P439=""),"",D439*P439)</x:f>
      </x:c>
      <x:c r="R439" s="56" t="n"/>
      <x:c r="S439" s="56" t="n"/>
      <x:c r="T439" s="74" t="n"/>
      <x:c r="U439" s="56" t="n"/>
    </x:row>
    <x:row r="440">
      <x:c r="A440" s="61" t="str">
        <x:f>IF(B440="","","TL-"&amp;TEXT(ROW()-4,"0000"))</x:f>
      </x:c>
      <x:c r="B440" s="79" t="n"/>
      <x:c r="C440" s="61" t="n"/>
      <x:c r="D440" s="63" t="n"/>
      <x:c r="E440" s="61" t="n"/>
      <x:c r="F440" s="61" t="n"/>
      <x:c r="G440" s="61" t="n"/>
      <x:c r="H440" s="61" t="n"/>
      <x:c r="I440" s="61" t="n"/>
      <x:c r="J440" s="61" t="n"/>
      <x:c r="K440" s="61" t="n"/>
      <x:c r="L440" s="63" t="str">
        <x:f>IF(B440="","",173.33)</x:f>
      </x:c>
      <x:c r="M440" s="63" t="str">
        <x:f>IF(OR(D440="",L440=""),"",D440/L440)</x:f>
      </x:c>
      <x:c r="N440" s="82" t="n"/>
      <x:c r="O440" s="82" t="str">
        <x:f>IF(OR(M440="",N440=""),"",M440*N440)</x:f>
      </x:c>
      <x:c r="P440" s="82" t="str">
        <x:f>IF(B440="","",6732)</x:f>
      </x:c>
      <x:c r="Q440" s="82" t="str">
        <x:f>IF(OR(D440="",P440=""),"",D440*P440)</x:f>
      </x:c>
      <x:c r="R440" s="61" t="n"/>
      <x:c r="S440" s="61" t="n"/>
      <x:c r="T440" s="79" t="n"/>
      <x:c r="U440" s="61" t="n"/>
    </x:row>
    <x:row r="441">
      <x:c r="A441" s="56" t="str">
        <x:f>IF(B441="","","TL-"&amp;TEXT(ROW()-4,"0000"))</x:f>
      </x:c>
      <x:c r="B441" s="74" t="n"/>
      <x:c r="C441" s="56" t="n"/>
      <x:c r="D441" s="58" t="n"/>
      <x:c r="E441" s="56" t="n"/>
      <x:c r="F441" s="56" t="n"/>
      <x:c r="G441" s="56" t="n"/>
      <x:c r="H441" s="56" t="n"/>
      <x:c r="I441" s="56" t="n"/>
      <x:c r="J441" s="56" t="n"/>
      <x:c r="K441" s="56" t="n"/>
      <x:c r="L441" s="58" t="str">
        <x:f>IF(B441="","",173.33)</x:f>
      </x:c>
      <x:c r="M441" s="58" t="str">
        <x:f>IF(OR(D441="",L441=""),"",D441/L441)</x:f>
      </x:c>
      <x:c r="N441" s="76" t="n"/>
      <x:c r="O441" s="76" t="str">
        <x:f>IF(OR(M441="",N441=""),"",M441*N441)</x:f>
      </x:c>
      <x:c r="P441" s="76" t="str">
        <x:f>IF(B441="","",6732)</x:f>
      </x:c>
      <x:c r="Q441" s="76" t="str">
        <x:f>IF(OR(D441="",P441=""),"",D441*P441)</x:f>
      </x:c>
      <x:c r="R441" s="56" t="n"/>
      <x:c r="S441" s="56" t="n"/>
      <x:c r="T441" s="74" t="n"/>
      <x:c r="U441" s="56" t="n"/>
    </x:row>
    <x:row r="442">
      <x:c r="A442" s="61" t="str">
        <x:f>IF(B442="","","TL-"&amp;TEXT(ROW()-4,"0000"))</x:f>
      </x:c>
      <x:c r="B442" s="79" t="n"/>
      <x:c r="C442" s="61" t="n"/>
      <x:c r="D442" s="63" t="n"/>
      <x:c r="E442" s="61" t="n"/>
      <x:c r="F442" s="61" t="n"/>
      <x:c r="G442" s="61" t="n"/>
      <x:c r="H442" s="61" t="n"/>
      <x:c r="I442" s="61" t="n"/>
      <x:c r="J442" s="61" t="n"/>
      <x:c r="K442" s="61" t="n"/>
      <x:c r="L442" s="63" t="str">
        <x:f>IF(B442="","",173.33)</x:f>
      </x:c>
      <x:c r="M442" s="63" t="str">
        <x:f>IF(OR(D442="",L442=""),"",D442/L442)</x:f>
      </x:c>
      <x:c r="N442" s="82" t="n"/>
      <x:c r="O442" s="82" t="str">
        <x:f>IF(OR(M442="",N442=""),"",M442*N442)</x:f>
      </x:c>
      <x:c r="P442" s="82" t="str">
        <x:f>IF(B442="","",6732)</x:f>
      </x:c>
      <x:c r="Q442" s="82" t="str">
        <x:f>IF(OR(D442="",P442=""),"",D442*P442)</x:f>
      </x:c>
      <x:c r="R442" s="61" t="n"/>
      <x:c r="S442" s="61" t="n"/>
      <x:c r="T442" s="79" t="n"/>
      <x:c r="U442" s="61" t="n"/>
    </x:row>
    <x:row r="443">
      <x:c r="A443" s="56" t="str">
        <x:f>IF(B443="","","TL-"&amp;TEXT(ROW()-4,"0000"))</x:f>
      </x:c>
      <x:c r="B443" s="74" t="n"/>
      <x:c r="C443" s="56" t="n"/>
      <x:c r="D443" s="58" t="n"/>
      <x:c r="E443" s="56" t="n"/>
      <x:c r="F443" s="56" t="n"/>
      <x:c r="G443" s="56" t="n"/>
      <x:c r="H443" s="56" t="n"/>
      <x:c r="I443" s="56" t="n"/>
      <x:c r="J443" s="56" t="n"/>
      <x:c r="K443" s="56" t="n"/>
      <x:c r="L443" s="58" t="str">
        <x:f>IF(B443="","",173.33)</x:f>
      </x:c>
      <x:c r="M443" s="58" t="str">
        <x:f>IF(OR(D443="",L443=""),"",D443/L443)</x:f>
      </x:c>
      <x:c r="N443" s="76" t="n"/>
      <x:c r="O443" s="76" t="str">
        <x:f>IF(OR(M443="",N443=""),"",M443*N443)</x:f>
      </x:c>
      <x:c r="P443" s="76" t="str">
        <x:f>IF(B443="","",6732)</x:f>
      </x:c>
      <x:c r="Q443" s="76" t="str">
        <x:f>IF(OR(D443="",P443=""),"",D443*P443)</x:f>
      </x:c>
      <x:c r="R443" s="56" t="n"/>
      <x:c r="S443" s="56" t="n"/>
      <x:c r="T443" s="74" t="n"/>
      <x:c r="U443" s="56" t="n"/>
    </x:row>
    <x:row r="444">
      <x:c r="A444" s="61" t="str">
        <x:f>IF(B444="","","TL-"&amp;TEXT(ROW()-4,"0000"))</x:f>
      </x:c>
      <x:c r="B444" s="79" t="n"/>
      <x:c r="C444" s="61" t="n"/>
      <x:c r="D444" s="63" t="n"/>
      <x:c r="E444" s="61" t="n"/>
      <x:c r="F444" s="61" t="n"/>
      <x:c r="G444" s="61" t="n"/>
      <x:c r="H444" s="61" t="n"/>
      <x:c r="I444" s="61" t="n"/>
      <x:c r="J444" s="61" t="n"/>
      <x:c r="K444" s="61" t="n"/>
      <x:c r="L444" s="63" t="str">
        <x:f>IF(B444="","",173.33)</x:f>
      </x:c>
      <x:c r="M444" s="63" t="str">
        <x:f>IF(OR(D444="",L444=""),"",D444/L444)</x:f>
      </x:c>
      <x:c r="N444" s="82" t="n"/>
      <x:c r="O444" s="82" t="str">
        <x:f>IF(OR(M444="",N444=""),"",M444*N444)</x:f>
      </x:c>
      <x:c r="P444" s="82" t="str">
        <x:f>IF(B444="","",6732)</x:f>
      </x:c>
      <x:c r="Q444" s="82" t="str">
        <x:f>IF(OR(D444="",P444=""),"",D444*P444)</x:f>
      </x:c>
      <x:c r="R444" s="61" t="n"/>
      <x:c r="S444" s="61" t="n"/>
      <x:c r="T444" s="79" t="n"/>
      <x:c r="U444" s="61" t="n"/>
    </x:row>
    <x:row r="445">
      <x:c r="A445" s="56" t="str">
        <x:f>IF(B445="","","TL-"&amp;TEXT(ROW()-4,"0000"))</x:f>
      </x:c>
      <x:c r="B445" s="74" t="n"/>
      <x:c r="C445" s="56" t="n"/>
      <x:c r="D445" s="58" t="n"/>
      <x:c r="E445" s="56" t="n"/>
      <x:c r="F445" s="56" t="n"/>
      <x:c r="G445" s="56" t="n"/>
      <x:c r="H445" s="56" t="n"/>
      <x:c r="I445" s="56" t="n"/>
      <x:c r="J445" s="56" t="n"/>
      <x:c r="K445" s="56" t="n"/>
      <x:c r="L445" s="58" t="str">
        <x:f>IF(B445="","",173.33)</x:f>
      </x:c>
      <x:c r="M445" s="58" t="str">
        <x:f>IF(OR(D445="",L445=""),"",D445/L445)</x:f>
      </x:c>
      <x:c r="N445" s="76" t="n"/>
      <x:c r="O445" s="76" t="str">
        <x:f>IF(OR(M445="",N445=""),"",M445*N445)</x:f>
      </x:c>
      <x:c r="P445" s="76" t="str">
        <x:f>IF(B445="","",6732)</x:f>
      </x:c>
      <x:c r="Q445" s="76" t="str">
        <x:f>IF(OR(D445="",P445=""),"",D445*P445)</x:f>
      </x:c>
      <x:c r="R445" s="56" t="n"/>
      <x:c r="S445" s="56" t="n"/>
      <x:c r="T445" s="74" t="n"/>
      <x:c r="U445" s="56" t="n"/>
    </x:row>
    <x:row r="446">
      <x:c r="A446" s="61" t="str">
        <x:f>IF(B446="","","TL-"&amp;TEXT(ROW()-4,"0000"))</x:f>
      </x:c>
      <x:c r="B446" s="79" t="n"/>
      <x:c r="C446" s="61" t="n"/>
      <x:c r="D446" s="63" t="n"/>
      <x:c r="E446" s="61" t="n"/>
      <x:c r="F446" s="61" t="n"/>
      <x:c r="G446" s="61" t="n"/>
      <x:c r="H446" s="61" t="n"/>
      <x:c r="I446" s="61" t="n"/>
      <x:c r="J446" s="61" t="n"/>
      <x:c r="K446" s="61" t="n"/>
      <x:c r="L446" s="63" t="str">
        <x:f>IF(B446="","",173.33)</x:f>
      </x:c>
      <x:c r="M446" s="63" t="str">
        <x:f>IF(OR(D446="",L446=""),"",D446/L446)</x:f>
      </x:c>
      <x:c r="N446" s="82" t="n"/>
      <x:c r="O446" s="82" t="str">
        <x:f>IF(OR(M446="",N446=""),"",M446*N446)</x:f>
      </x:c>
      <x:c r="P446" s="82" t="str">
        <x:f>IF(B446="","",6732)</x:f>
      </x:c>
      <x:c r="Q446" s="82" t="str">
        <x:f>IF(OR(D446="",P446=""),"",D446*P446)</x:f>
      </x:c>
      <x:c r="R446" s="61" t="n"/>
      <x:c r="S446" s="61" t="n"/>
      <x:c r="T446" s="79" t="n"/>
      <x:c r="U446" s="61" t="n"/>
    </x:row>
    <x:row r="447">
      <x:c r="A447" s="56" t="str">
        <x:f>IF(B447="","","TL-"&amp;TEXT(ROW()-4,"0000"))</x:f>
      </x:c>
      <x:c r="B447" s="74" t="n"/>
      <x:c r="C447" s="56" t="n"/>
      <x:c r="D447" s="58" t="n"/>
      <x:c r="E447" s="56" t="n"/>
      <x:c r="F447" s="56" t="n"/>
      <x:c r="G447" s="56" t="n"/>
      <x:c r="H447" s="56" t="n"/>
      <x:c r="I447" s="56" t="n"/>
      <x:c r="J447" s="56" t="n"/>
      <x:c r="K447" s="56" t="n"/>
      <x:c r="L447" s="58" t="str">
        <x:f>IF(B447="","",173.33)</x:f>
      </x:c>
      <x:c r="M447" s="58" t="str">
        <x:f>IF(OR(D447="",L447=""),"",D447/L447)</x:f>
      </x:c>
      <x:c r="N447" s="76" t="n"/>
      <x:c r="O447" s="76" t="str">
        <x:f>IF(OR(M447="",N447=""),"",M447*N447)</x:f>
      </x:c>
      <x:c r="P447" s="76" t="str">
        <x:f>IF(B447="","",6732)</x:f>
      </x:c>
      <x:c r="Q447" s="76" t="str">
        <x:f>IF(OR(D447="",P447=""),"",D447*P447)</x:f>
      </x:c>
      <x:c r="R447" s="56" t="n"/>
      <x:c r="S447" s="56" t="n"/>
      <x:c r="T447" s="74" t="n"/>
      <x:c r="U447" s="56" t="n"/>
    </x:row>
    <x:row r="448">
      <x:c r="A448" s="61" t="str">
        <x:f>IF(B448="","","TL-"&amp;TEXT(ROW()-4,"0000"))</x:f>
      </x:c>
      <x:c r="B448" s="79" t="n"/>
      <x:c r="C448" s="61" t="n"/>
      <x:c r="D448" s="63" t="n"/>
      <x:c r="E448" s="61" t="n"/>
      <x:c r="F448" s="61" t="n"/>
      <x:c r="G448" s="61" t="n"/>
      <x:c r="H448" s="61" t="n"/>
      <x:c r="I448" s="61" t="n"/>
      <x:c r="J448" s="61" t="n"/>
      <x:c r="K448" s="61" t="n"/>
      <x:c r="L448" s="63" t="str">
        <x:f>IF(B448="","",173.33)</x:f>
      </x:c>
      <x:c r="M448" s="63" t="str">
        <x:f>IF(OR(D448="",L448=""),"",D448/L448)</x:f>
      </x:c>
      <x:c r="N448" s="82" t="n"/>
      <x:c r="O448" s="82" t="str">
        <x:f>IF(OR(M448="",N448=""),"",M448*N448)</x:f>
      </x:c>
      <x:c r="P448" s="82" t="str">
        <x:f>IF(B448="","",6732)</x:f>
      </x:c>
      <x:c r="Q448" s="82" t="str">
        <x:f>IF(OR(D448="",P448=""),"",D448*P448)</x:f>
      </x:c>
      <x:c r="R448" s="61" t="n"/>
      <x:c r="S448" s="61" t="n"/>
      <x:c r="T448" s="79" t="n"/>
      <x:c r="U448" s="61" t="n"/>
    </x:row>
    <x:row r="449">
      <x:c r="A449" s="56" t="str">
        <x:f>IF(B449="","","TL-"&amp;TEXT(ROW()-4,"0000"))</x:f>
      </x:c>
      <x:c r="B449" s="74" t="n"/>
      <x:c r="C449" s="56" t="n"/>
      <x:c r="D449" s="58" t="n"/>
      <x:c r="E449" s="56" t="n"/>
      <x:c r="F449" s="56" t="n"/>
      <x:c r="G449" s="56" t="n"/>
      <x:c r="H449" s="56" t="n"/>
      <x:c r="I449" s="56" t="n"/>
      <x:c r="J449" s="56" t="n"/>
      <x:c r="K449" s="56" t="n"/>
      <x:c r="L449" s="58" t="str">
        <x:f>IF(B449="","",173.33)</x:f>
      </x:c>
      <x:c r="M449" s="58" t="str">
        <x:f>IF(OR(D449="",L449=""),"",D449/L449)</x:f>
      </x:c>
      <x:c r="N449" s="76" t="n"/>
      <x:c r="O449" s="76" t="str">
        <x:f>IF(OR(M449="",N449=""),"",M449*N449)</x:f>
      </x:c>
      <x:c r="P449" s="76" t="str">
        <x:f>IF(B449="","",6732)</x:f>
      </x:c>
      <x:c r="Q449" s="76" t="str">
        <x:f>IF(OR(D449="",P449=""),"",D449*P449)</x:f>
      </x:c>
      <x:c r="R449" s="56" t="n"/>
      <x:c r="S449" s="56" t="n"/>
      <x:c r="T449" s="74" t="n"/>
      <x:c r="U449" s="56" t="n"/>
    </x:row>
    <x:row r="450">
      <x:c r="A450" s="61" t="str">
        <x:f>IF(B450="","","TL-"&amp;TEXT(ROW()-4,"0000"))</x:f>
      </x:c>
      <x:c r="B450" s="79" t="n"/>
      <x:c r="C450" s="61" t="n"/>
      <x:c r="D450" s="63" t="n"/>
      <x:c r="E450" s="61" t="n"/>
      <x:c r="F450" s="61" t="n"/>
      <x:c r="G450" s="61" t="n"/>
      <x:c r="H450" s="61" t="n"/>
      <x:c r="I450" s="61" t="n"/>
      <x:c r="J450" s="61" t="n"/>
      <x:c r="K450" s="61" t="n"/>
      <x:c r="L450" s="63" t="str">
        <x:f>IF(B450="","",173.33)</x:f>
      </x:c>
      <x:c r="M450" s="63" t="str">
        <x:f>IF(OR(D450="",L450=""),"",D450/L450)</x:f>
      </x:c>
      <x:c r="N450" s="82" t="n"/>
      <x:c r="O450" s="82" t="str">
        <x:f>IF(OR(M450="",N450=""),"",M450*N450)</x:f>
      </x:c>
      <x:c r="P450" s="82" t="str">
        <x:f>IF(B450="","",6732)</x:f>
      </x:c>
      <x:c r="Q450" s="82" t="str">
        <x:f>IF(OR(D450="",P450=""),"",D450*P450)</x:f>
      </x:c>
      <x:c r="R450" s="61" t="n"/>
      <x:c r="S450" s="61" t="n"/>
      <x:c r="T450" s="79" t="n"/>
      <x:c r="U450" s="61" t="n"/>
    </x:row>
    <x:row r="451">
      <x:c r="A451" s="56" t="str">
        <x:f>IF(B451="","","TL-"&amp;TEXT(ROW()-4,"0000"))</x:f>
      </x:c>
      <x:c r="B451" s="74" t="n"/>
      <x:c r="C451" s="56" t="n"/>
      <x:c r="D451" s="58" t="n"/>
      <x:c r="E451" s="56" t="n"/>
      <x:c r="F451" s="56" t="n"/>
      <x:c r="G451" s="56" t="n"/>
      <x:c r="H451" s="56" t="n"/>
      <x:c r="I451" s="56" t="n"/>
      <x:c r="J451" s="56" t="n"/>
      <x:c r="K451" s="56" t="n"/>
      <x:c r="L451" s="58" t="str">
        <x:f>IF(B451="","",173.33)</x:f>
      </x:c>
      <x:c r="M451" s="58" t="str">
        <x:f>IF(OR(D451="",L451=""),"",D451/L451)</x:f>
      </x:c>
      <x:c r="N451" s="76" t="n"/>
      <x:c r="O451" s="76" t="str">
        <x:f>IF(OR(M451="",N451=""),"",M451*N451)</x:f>
      </x:c>
      <x:c r="P451" s="76" t="str">
        <x:f>IF(B451="","",6732)</x:f>
      </x:c>
      <x:c r="Q451" s="76" t="str">
        <x:f>IF(OR(D451="",P451=""),"",D451*P451)</x:f>
      </x:c>
      <x:c r="R451" s="56" t="n"/>
      <x:c r="S451" s="56" t="n"/>
      <x:c r="T451" s="74" t="n"/>
      <x:c r="U451" s="56" t="n"/>
    </x:row>
    <x:row r="452">
      <x:c r="A452" s="61" t="str">
        <x:f>IF(B452="","","TL-"&amp;TEXT(ROW()-4,"0000"))</x:f>
      </x:c>
      <x:c r="B452" s="79" t="n"/>
      <x:c r="C452" s="61" t="n"/>
      <x:c r="D452" s="63" t="n"/>
      <x:c r="E452" s="61" t="n"/>
      <x:c r="F452" s="61" t="n"/>
      <x:c r="G452" s="61" t="n"/>
      <x:c r="H452" s="61" t="n"/>
      <x:c r="I452" s="61" t="n"/>
      <x:c r="J452" s="61" t="n"/>
      <x:c r="K452" s="61" t="n"/>
      <x:c r="L452" s="63" t="str">
        <x:f>IF(B452="","",173.33)</x:f>
      </x:c>
      <x:c r="M452" s="63" t="str">
        <x:f>IF(OR(D452="",L452=""),"",D452/L452)</x:f>
      </x:c>
      <x:c r="N452" s="82" t="n"/>
      <x:c r="O452" s="82" t="str">
        <x:f>IF(OR(M452="",N452=""),"",M452*N452)</x:f>
      </x:c>
      <x:c r="P452" s="82" t="str">
        <x:f>IF(B452="","",6732)</x:f>
      </x:c>
      <x:c r="Q452" s="82" t="str">
        <x:f>IF(OR(D452="",P452=""),"",D452*P452)</x:f>
      </x:c>
      <x:c r="R452" s="61" t="n"/>
      <x:c r="S452" s="61" t="n"/>
      <x:c r="T452" s="79" t="n"/>
      <x:c r="U452" s="61" t="n"/>
    </x:row>
    <x:row r="453">
      <x:c r="A453" s="56" t="str">
        <x:f>IF(B453="","","TL-"&amp;TEXT(ROW()-4,"0000"))</x:f>
      </x:c>
      <x:c r="B453" s="74" t="n"/>
      <x:c r="C453" s="56" t="n"/>
      <x:c r="D453" s="58" t="n"/>
      <x:c r="E453" s="56" t="n"/>
      <x:c r="F453" s="56" t="n"/>
      <x:c r="G453" s="56" t="n"/>
      <x:c r="H453" s="56" t="n"/>
      <x:c r="I453" s="56" t="n"/>
      <x:c r="J453" s="56" t="n"/>
      <x:c r="K453" s="56" t="n"/>
      <x:c r="L453" s="58" t="str">
        <x:f>IF(B453="","",173.33)</x:f>
      </x:c>
      <x:c r="M453" s="58" t="str">
        <x:f>IF(OR(D453="",L453=""),"",D453/L453)</x:f>
      </x:c>
      <x:c r="N453" s="76" t="n"/>
      <x:c r="O453" s="76" t="str">
        <x:f>IF(OR(M453="",N453=""),"",M453*N453)</x:f>
      </x:c>
      <x:c r="P453" s="76" t="str">
        <x:f>IF(B453="","",6732)</x:f>
      </x:c>
      <x:c r="Q453" s="76" t="str">
        <x:f>IF(OR(D453="",P453=""),"",D453*P453)</x:f>
      </x:c>
      <x:c r="R453" s="56" t="n"/>
      <x:c r="S453" s="56" t="n"/>
      <x:c r="T453" s="74" t="n"/>
      <x:c r="U453" s="56" t="n"/>
    </x:row>
    <x:row r="454">
      <x:c r="A454" s="61" t="str">
        <x:f>IF(B454="","","TL-"&amp;TEXT(ROW()-4,"0000"))</x:f>
      </x:c>
      <x:c r="B454" s="79" t="n"/>
      <x:c r="C454" s="61" t="n"/>
      <x:c r="D454" s="63" t="n"/>
      <x:c r="E454" s="61" t="n"/>
      <x:c r="F454" s="61" t="n"/>
      <x:c r="G454" s="61" t="n"/>
      <x:c r="H454" s="61" t="n"/>
      <x:c r="I454" s="61" t="n"/>
      <x:c r="J454" s="61" t="n"/>
      <x:c r="K454" s="61" t="n"/>
      <x:c r="L454" s="63" t="str">
        <x:f>IF(B454="","",173.33)</x:f>
      </x:c>
      <x:c r="M454" s="63" t="str">
        <x:f>IF(OR(D454="",L454=""),"",D454/L454)</x:f>
      </x:c>
      <x:c r="N454" s="82" t="n"/>
      <x:c r="O454" s="82" t="str">
        <x:f>IF(OR(M454="",N454=""),"",M454*N454)</x:f>
      </x:c>
      <x:c r="P454" s="82" t="str">
        <x:f>IF(B454="","",6732)</x:f>
      </x:c>
      <x:c r="Q454" s="82" t="str">
        <x:f>IF(OR(D454="",P454=""),"",D454*P454)</x:f>
      </x:c>
      <x:c r="R454" s="61" t="n"/>
      <x:c r="S454" s="61" t="n"/>
      <x:c r="T454" s="79" t="n"/>
      <x:c r="U454" s="61" t="n"/>
    </x:row>
    <x:row r="455">
      <x:c r="A455" s="56" t="str">
        <x:f>IF(B455="","","TL-"&amp;TEXT(ROW()-4,"0000"))</x:f>
      </x:c>
      <x:c r="B455" s="74" t="n"/>
      <x:c r="C455" s="56" t="n"/>
      <x:c r="D455" s="58" t="n"/>
      <x:c r="E455" s="56" t="n"/>
      <x:c r="F455" s="56" t="n"/>
      <x:c r="G455" s="56" t="n"/>
      <x:c r="H455" s="56" t="n"/>
      <x:c r="I455" s="56" t="n"/>
      <x:c r="J455" s="56" t="n"/>
      <x:c r="K455" s="56" t="n"/>
      <x:c r="L455" s="58" t="str">
        <x:f>IF(B455="","",173.33)</x:f>
      </x:c>
      <x:c r="M455" s="58" t="str">
        <x:f>IF(OR(D455="",L455=""),"",D455/L455)</x:f>
      </x:c>
      <x:c r="N455" s="76" t="n"/>
      <x:c r="O455" s="76" t="str">
        <x:f>IF(OR(M455="",N455=""),"",M455*N455)</x:f>
      </x:c>
      <x:c r="P455" s="76" t="str">
        <x:f>IF(B455="","",6732)</x:f>
      </x:c>
      <x:c r="Q455" s="76" t="str">
        <x:f>IF(OR(D455="",P455=""),"",D455*P455)</x:f>
      </x:c>
      <x:c r="R455" s="56" t="n"/>
      <x:c r="S455" s="56" t="n"/>
      <x:c r="T455" s="74" t="n"/>
      <x:c r="U455" s="56" t="n"/>
    </x:row>
    <x:row r="456">
      <x:c r="A456" s="61" t="str">
        <x:f>IF(B456="","","TL-"&amp;TEXT(ROW()-4,"0000"))</x:f>
      </x:c>
      <x:c r="B456" s="79" t="n"/>
      <x:c r="C456" s="61" t="n"/>
      <x:c r="D456" s="63" t="n"/>
      <x:c r="E456" s="61" t="n"/>
      <x:c r="F456" s="61" t="n"/>
      <x:c r="G456" s="61" t="n"/>
      <x:c r="H456" s="61" t="n"/>
      <x:c r="I456" s="61" t="n"/>
      <x:c r="J456" s="61" t="n"/>
      <x:c r="K456" s="61" t="n"/>
      <x:c r="L456" s="63" t="str">
        <x:f>IF(B456="","",173.33)</x:f>
      </x:c>
      <x:c r="M456" s="63" t="str">
        <x:f>IF(OR(D456="",L456=""),"",D456/L456)</x:f>
      </x:c>
      <x:c r="N456" s="82" t="n"/>
      <x:c r="O456" s="82" t="str">
        <x:f>IF(OR(M456="",N456=""),"",M456*N456)</x:f>
      </x:c>
      <x:c r="P456" s="82" t="str">
        <x:f>IF(B456="","",6732)</x:f>
      </x:c>
      <x:c r="Q456" s="82" t="str">
        <x:f>IF(OR(D456="",P456=""),"",D456*P456)</x:f>
      </x:c>
      <x:c r="R456" s="61" t="n"/>
      <x:c r="S456" s="61" t="n"/>
      <x:c r="T456" s="79" t="n"/>
      <x:c r="U456" s="61" t="n"/>
    </x:row>
    <x:row r="457">
      <x:c r="A457" s="56" t="str">
        <x:f>IF(B457="","","TL-"&amp;TEXT(ROW()-4,"0000"))</x:f>
      </x:c>
      <x:c r="B457" s="74" t="n"/>
      <x:c r="C457" s="56" t="n"/>
      <x:c r="D457" s="58" t="n"/>
      <x:c r="E457" s="56" t="n"/>
      <x:c r="F457" s="56" t="n"/>
      <x:c r="G457" s="56" t="n"/>
      <x:c r="H457" s="56" t="n"/>
      <x:c r="I457" s="56" t="n"/>
      <x:c r="J457" s="56" t="n"/>
      <x:c r="K457" s="56" t="n"/>
      <x:c r="L457" s="58" t="str">
        <x:f>IF(B457="","",173.33)</x:f>
      </x:c>
      <x:c r="M457" s="58" t="str">
        <x:f>IF(OR(D457="",L457=""),"",D457/L457)</x:f>
      </x:c>
      <x:c r="N457" s="76" t="n"/>
      <x:c r="O457" s="76" t="str">
        <x:f>IF(OR(M457="",N457=""),"",M457*N457)</x:f>
      </x:c>
      <x:c r="P457" s="76" t="str">
        <x:f>IF(B457="","",6732)</x:f>
      </x:c>
      <x:c r="Q457" s="76" t="str">
        <x:f>IF(OR(D457="",P457=""),"",D457*P457)</x:f>
      </x:c>
      <x:c r="R457" s="56" t="n"/>
      <x:c r="S457" s="56" t="n"/>
      <x:c r="T457" s="74" t="n"/>
      <x:c r="U457" s="56" t="n"/>
    </x:row>
    <x:row r="458">
      <x:c r="A458" s="61" t="str">
        <x:f>IF(B458="","","TL-"&amp;TEXT(ROW()-4,"0000"))</x:f>
      </x:c>
      <x:c r="B458" s="79" t="n"/>
      <x:c r="C458" s="61" t="n"/>
      <x:c r="D458" s="63" t="n"/>
      <x:c r="E458" s="61" t="n"/>
      <x:c r="F458" s="61" t="n"/>
      <x:c r="G458" s="61" t="n"/>
      <x:c r="H458" s="61" t="n"/>
      <x:c r="I458" s="61" t="n"/>
      <x:c r="J458" s="61" t="n"/>
      <x:c r="K458" s="61" t="n"/>
      <x:c r="L458" s="63" t="str">
        <x:f>IF(B458="","",173.33)</x:f>
      </x:c>
      <x:c r="M458" s="63" t="str">
        <x:f>IF(OR(D458="",L458=""),"",D458/L458)</x:f>
      </x:c>
      <x:c r="N458" s="82" t="n"/>
      <x:c r="O458" s="82" t="str">
        <x:f>IF(OR(M458="",N458=""),"",M458*N458)</x:f>
      </x:c>
      <x:c r="P458" s="82" t="str">
        <x:f>IF(B458="","",6732)</x:f>
      </x:c>
      <x:c r="Q458" s="82" t="str">
        <x:f>IF(OR(D458="",P458=""),"",D458*P458)</x:f>
      </x:c>
      <x:c r="R458" s="61" t="n"/>
      <x:c r="S458" s="61" t="n"/>
      <x:c r="T458" s="79" t="n"/>
      <x:c r="U458" s="61" t="n"/>
    </x:row>
    <x:row r="459">
      <x:c r="A459" s="56" t="str">
        <x:f>IF(B459="","","TL-"&amp;TEXT(ROW()-4,"0000"))</x:f>
      </x:c>
      <x:c r="B459" s="74" t="n"/>
      <x:c r="C459" s="56" t="n"/>
      <x:c r="D459" s="58" t="n"/>
      <x:c r="E459" s="56" t="n"/>
      <x:c r="F459" s="56" t="n"/>
      <x:c r="G459" s="56" t="n"/>
      <x:c r="H459" s="56" t="n"/>
      <x:c r="I459" s="56" t="n"/>
      <x:c r="J459" s="56" t="n"/>
      <x:c r="K459" s="56" t="n"/>
      <x:c r="L459" s="58" t="str">
        <x:f>IF(B459="","",173.33)</x:f>
      </x:c>
      <x:c r="M459" s="58" t="str">
        <x:f>IF(OR(D459="",L459=""),"",D459/L459)</x:f>
      </x:c>
      <x:c r="N459" s="76" t="n"/>
      <x:c r="O459" s="76" t="str">
        <x:f>IF(OR(M459="",N459=""),"",M459*N459)</x:f>
      </x:c>
      <x:c r="P459" s="76" t="str">
        <x:f>IF(B459="","",6732)</x:f>
      </x:c>
      <x:c r="Q459" s="76" t="str">
        <x:f>IF(OR(D459="",P459=""),"",D459*P459)</x:f>
      </x:c>
      <x:c r="R459" s="56" t="n"/>
      <x:c r="S459" s="56" t="n"/>
      <x:c r="T459" s="74" t="n"/>
      <x:c r="U459" s="56" t="n"/>
    </x:row>
    <x:row r="460">
      <x:c r="A460" s="61" t="str">
        <x:f>IF(B460="","","TL-"&amp;TEXT(ROW()-4,"0000"))</x:f>
      </x:c>
      <x:c r="B460" s="79" t="n"/>
      <x:c r="C460" s="61" t="n"/>
      <x:c r="D460" s="63" t="n"/>
      <x:c r="E460" s="61" t="n"/>
      <x:c r="F460" s="61" t="n"/>
      <x:c r="G460" s="61" t="n"/>
      <x:c r="H460" s="61" t="n"/>
      <x:c r="I460" s="61" t="n"/>
      <x:c r="J460" s="61" t="n"/>
      <x:c r="K460" s="61" t="n"/>
      <x:c r="L460" s="63" t="str">
        <x:f>IF(B460="","",173.33)</x:f>
      </x:c>
      <x:c r="M460" s="63" t="str">
        <x:f>IF(OR(D460="",L460=""),"",D460/L460)</x:f>
      </x:c>
      <x:c r="N460" s="82" t="n"/>
      <x:c r="O460" s="82" t="str">
        <x:f>IF(OR(M460="",N460=""),"",M460*N460)</x:f>
      </x:c>
      <x:c r="P460" s="82" t="str">
        <x:f>IF(B460="","",6732)</x:f>
      </x:c>
      <x:c r="Q460" s="82" t="str">
        <x:f>IF(OR(D460="",P460=""),"",D460*P460)</x:f>
      </x:c>
      <x:c r="R460" s="61" t="n"/>
      <x:c r="S460" s="61" t="n"/>
      <x:c r="T460" s="79" t="n"/>
      <x:c r="U460" s="61" t="n"/>
    </x:row>
    <x:row r="461">
      <x:c r="A461" s="56" t="str">
        <x:f>IF(B461="","","TL-"&amp;TEXT(ROW()-4,"0000"))</x:f>
      </x:c>
      <x:c r="B461" s="74" t="n"/>
      <x:c r="C461" s="56" t="n"/>
      <x:c r="D461" s="58" t="n"/>
      <x:c r="E461" s="56" t="n"/>
      <x:c r="F461" s="56" t="n"/>
      <x:c r="G461" s="56" t="n"/>
      <x:c r="H461" s="56" t="n"/>
      <x:c r="I461" s="56" t="n"/>
      <x:c r="J461" s="56" t="n"/>
      <x:c r="K461" s="56" t="n"/>
      <x:c r="L461" s="58" t="str">
        <x:f>IF(B461="","",173.33)</x:f>
      </x:c>
      <x:c r="M461" s="58" t="str">
        <x:f>IF(OR(D461="",L461=""),"",D461/L461)</x:f>
      </x:c>
      <x:c r="N461" s="76" t="n"/>
      <x:c r="O461" s="76" t="str">
        <x:f>IF(OR(M461="",N461=""),"",M461*N461)</x:f>
      </x:c>
      <x:c r="P461" s="76" t="str">
        <x:f>IF(B461="","",6732)</x:f>
      </x:c>
      <x:c r="Q461" s="76" t="str">
        <x:f>IF(OR(D461="",P461=""),"",D461*P461)</x:f>
      </x:c>
      <x:c r="R461" s="56" t="n"/>
      <x:c r="S461" s="56" t="n"/>
      <x:c r="T461" s="74" t="n"/>
      <x:c r="U461" s="56" t="n"/>
    </x:row>
    <x:row r="462">
      <x:c r="A462" s="61" t="str">
        <x:f>IF(B462="","","TL-"&amp;TEXT(ROW()-4,"0000"))</x:f>
      </x:c>
      <x:c r="B462" s="79" t="n"/>
      <x:c r="C462" s="61" t="n"/>
      <x:c r="D462" s="63" t="n"/>
      <x:c r="E462" s="61" t="n"/>
      <x:c r="F462" s="61" t="n"/>
      <x:c r="G462" s="61" t="n"/>
      <x:c r="H462" s="61" t="n"/>
      <x:c r="I462" s="61" t="n"/>
      <x:c r="J462" s="61" t="n"/>
      <x:c r="K462" s="61" t="n"/>
      <x:c r="L462" s="63" t="str">
        <x:f>IF(B462="","",173.33)</x:f>
      </x:c>
      <x:c r="M462" s="63" t="str">
        <x:f>IF(OR(D462="",L462=""),"",D462/L462)</x:f>
      </x:c>
      <x:c r="N462" s="82" t="n"/>
      <x:c r="O462" s="82" t="str">
        <x:f>IF(OR(M462="",N462=""),"",M462*N462)</x:f>
      </x:c>
      <x:c r="P462" s="82" t="str">
        <x:f>IF(B462="","",6732)</x:f>
      </x:c>
      <x:c r="Q462" s="82" t="str">
        <x:f>IF(OR(D462="",P462=""),"",D462*P462)</x:f>
      </x:c>
      <x:c r="R462" s="61" t="n"/>
      <x:c r="S462" s="61" t="n"/>
      <x:c r="T462" s="79" t="n"/>
      <x:c r="U462" s="61" t="n"/>
    </x:row>
    <x:row r="463">
      <x:c r="A463" s="56" t="str">
        <x:f>IF(B463="","","TL-"&amp;TEXT(ROW()-4,"0000"))</x:f>
      </x:c>
      <x:c r="B463" s="74" t="n"/>
      <x:c r="C463" s="56" t="n"/>
      <x:c r="D463" s="58" t="n"/>
      <x:c r="E463" s="56" t="n"/>
      <x:c r="F463" s="56" t="n"/>
      <x:c r="G463" s="56" t="n"/>
      <x:c r="H463" s="56" t="n"/>
      <x:c r="I463" s="56" t="n"/>
      <x:c r="J463" s="56" t="n"/>
      <x:c r="K463" s="56" t="n"/>
      <x:c r="L463" s="58" t="str">
        <x:f>IF(B463="","",173.33)</x:f>
      </x:c>
      <x:c r="M463" s="58" t="str">
        <x:f>IF(OR(D463="",L463=""),"",D463/L463)</x:f>
      </x:c>
      <x:c r="N463" s="76" t="n"/>
      <x:c r="O463" s="76" t="str">
        <x:f>IF(OR(M463="",N463=""),"",M463*N463)</x:f>
      </x:c>
      <x:c r="P463" s="76" t="str">
        <x:f>IF(B463="","",6732)</x:f>
      </x:c>
      <x:c r="Q463" s="76" t="str">
        <x:f>IF(OR(D463="",P463=""),"",D463*P463)</x:f>
      </x:c>
      <x:c r="R463" s="56" t="n"/>
      <x:c r="S463" s="56" t="n"/>
      <x:c r="T463" s="74" t="n"/>
      <x:c r="U463" s="56" t="n"/>
    </x:row>
    <x:row r="464">
      <x:c r="A464" s="61" t="str">
        <x:f>IF(B464="","","TL-"&amp;TEXT(ROW()-4,"0000"))</x:f>
      </x:c>
      <x:c r="B464" s="79" t="n"/>
      <x:c r="C464" s="61" t="n"/>
      <x:c r="D464" s="63" t="n"/>
      <x:c r="E464" s="61" t="n"/>
      <x:c r="F464" s="61" t="n"/>
      <x:c r="G464" s="61" t="n"/>
      <x:c r="H464" s="61" t="n"/>
      <x:c r="I464" s="61" t="n"/>
      <x:c r="J464" s="61" t="n"/>
      <x:c r="K464" s="61" t="n"/>
      <x:c r="L464" s="63" t="str">
        <x:f>IF(B464="","",173.33)</x:f>
      </x:c>
      <x:c r="M464" s="63" t="str">
        <x:f>IF(OR(D464="",L464=""),"",D464/L464)</x:f>
      </x:c>
      <x:c r="N464" s="82" t="n"/>
      <x:c r="O464" s="82" t="str">
        <x:f>IF(OR(M464="",N464=""),"",M464*N464)</x:f>
      </x:c>
      <x:c r="P464" s="82" t="str">
        <x:f>IF(B464="","",6732)</x:f>
      </x:c>
      <x:c r="Q464" s="82" t="str">
        <x:f>IF(OR(D464="",P464=""),"",D464*P464)</x:f>
      </x:c>
      <x:c r="R464" s="61" t="n"/>
      <x:c r="S464" s="61" t="n"/>
      <x:c r="T464" s="79" t="n"/>
      <x:c r="U464" s="61" t="n"/>
    </x:row>
    <x:row r="465">
      <x:c r="A465" s="56" t="str">
        <x:f>IF(B465="","","TL-"&amp;TEXT(ROW()-4,"0000"))</x:f>
      </x:c>
      <x:c r="B465" s="74" t="n"/>
      <x:c r="C465" s="56" t="n"/>
      <x:c r="D465" s="58" t="n"/>
      <x:c r="E465" s="56" t="n"/>
      <x:c r="F465" s="56" t="n"/>
      <x:c r="G465" s="56" t="n"/>
      <x:c r="H465" s="56" t="n"/>
      <x:c r="I465" s="56" t="n"/>
      <x:c r="J465" s="56" t="n"/>
      <x:c r="K465" s="56" t="n"/>
      <x:c r="L465" s="58" t="str">
        <x:f>IF(B465="","",173.33)</x:f>
      </x:c>
      <x:c r="M465" s="58" t="str">
        <x:f>IF(OR(D465="",L465=""),"",D465/L465)</x:f>
      </x:c>
      <x:c r="N465" s="76" t="n"/>
      <x:c r="O465" s="76" t="str">
        <x:f>IF(OR(M465="",N465=""),"",M465*N465)</x:f>
      </x:c>
      <x:c r="P465" s="76" t="str">
        <x:f>IF(B465="","",6732)</x:f>
      </x:c>
      <x:c r="Q465" s="76" t="str">
        <x:f>IF(OR(D465="",P465=""),"",D465*P465)</x:f>
      </x:c>
      <x:c r="R465" s="56" t="n"/>
      <x:c r="S465" s="56" t="n"/>
      <x:c r="T465" s="74" t="n"/>
      <x:c r="U465" s="56" t="n"/>
    </x:row>
    <x:row r="466">
      <x:c r="A466" s="61" t="str">
        <x:f>IF(B466="","","TL-"&amp;TEXT(ROW()-4,"0000"))</x:f>
      </x:c>
      <x:c r="B466" s="79" t="n"/>
      <x:c r="C466" s="61" t="n"/>
      <x:c r="D466" s="63" t="n"/>
      <x:c r="E466" s="61" t="n"/>
      <x:c r="F466" s="61" t="n"/>
      <x:c r="G466" s="61" t="n"/>
      <x:c r="H466" s="61" t="n"/>
      <x:c r="I466" s="61" t="n"/>
      <x:c r="J466" s="61" t="n"/>
      <x:c r="K466" s="61" t="n"/>
      <x:c r="L466" s="63" t="str">
        <x:f>IF(B466="","",173.33)</x:f>
      </x:c>
      <x:c r="M466" s="63" t="str">
        <x:f>IF(OR(D466="",L466=""),"",D466/L466)</x:f>
      </x:c>
      <x:c r="N466" s="82" t="n"/>
      <x:c r="O466" s="82" t="str">
        <x:f>IF(OR(M466="",N466=""),"",M466*N466)</x:f>
      </x:c>
      <x:c r="P466" s="82" t="str">
        <x:f>IF(B466="","",6732)</x:f>
      </x:c>
      <x:c r="Q466" s="82" t="str">
        <x:f>IF(OR(D466="",P466=""),"",D466*P466)</x:f>
      </x:c>
      <x:c r="R466" s="61" t="n"/>
      <x:c r="S466" s="61" t="n"/>
      <x:c r="T466" s="79" t="n"/>
      <x:c r="U466" s="61" t="n"/>
    </x:row>
    <x:row r="467">
      <x:c r="A467" s="56" t="str">
        <x:f>IF(B467="","","TL-"&amp;TEXT(ROW()-4,"0000"))</x:f>
      </x:c>
      <x:c r="B467" s="74" t="n"/>
      <x:c r="C467" s="56" t="n"/>
      <x:c r="D467" s="58" t="n"/>
      <x:c r="E467" s="56" t="n"/>
      <x:c r="F467" s="56" t="n"/>
      <x:c r="G467" s="56" t="n"/>
      <x:c r="H467" s="56" t="n"/>
      <x:c r="I467" s="56" t="n"/>
      <x:c r="J467" s="56" t="n"/>
      <x:c r="K467" s="56" t="n"/>
      <x:c r="L467" s="58" t="str">
        <x:f>IF(B467="","",173.33)</x:f>
      </x:c>
      <x:c r="M467" s="58" t="str">
        <x:f>IF(OR(D467="",L467=""),"",D467/L467)</x:f>
      </x:c>
      <x:c r="N467" s="76" t="n"/>
      <x:c r="O467" s="76" t="str">
        <x:f>IF(OR(M467="",N467=""),"",M467*N467)</x:f>
      </x:c>
      <x:c r="P467" s="76" t="str">
        <x:f>IF(B467="","",6732)</x:f>
      </x:c>
      <x:c r="Q467" s="76" t="str">
        <x:f>IF(OR(D467="",P467=""),"",D467*P467)</x:f>
      </x:c>
      <x:c r="R467" s="56" t="n"/>
      <x:c r="S467" s="56" t="n"/>
      <x:c r="T467" s="74" t="n"/>
      <x:c r="U467" s="56" t="n"/>
    </x:row>
    <x:row r="468">
      <x:c r="A468" s="61" t="str">
        <x:f>IF(B468="","","TL-"&amp;TEXT(ROW()-4,"0000"))</x:f>
      </x:c>
      <x:c r="B468" s="79" t="n"/>
      <x:c r="C468" s="61" t="n"/>
      <x:c r="D468" s="63" t="n"/>
      <x:c r="E468" s="61" t="n"/>
      <x:c r="F468" s="61" t="n"/>
      <x:c r="G468" s="61" t="n"/>
      <x:c r="H468" s="61" t="n"/>
      <x:c r="I468" s="61" t="n"/>
      <x:c r="J468" s="61" t="n"/>
      <x:c r="K468" s="61" t="n"/>
      <x:c r="L468" s="63" t="str">
        <x:f>IF(B468="","",173.33)</x:f>
      </x:c>
      <x:c r="M468" s="63" t="str">
        <x:f>IF(OR(D468="",L468=""),"",D468/L468)</x:f>
      </x:c>
      <x:c r="N468" s="82" t="n"/>
      <x:c r="O468" s="82" t="str">
        <x:f>IF(OR(M468="",N468=""),"",M468*N468)</x:f>
      </x:c>
      <x:c r="P468" s="82" t="str">
        <x:f>IF(B468="","",6732)</x:f>
      </x:c>
      <x:c r="Q468" s="82" t="str">
        <x:f>IF(OR(D468="",P468=""),"",D468*P468)</x:f>
      </x:c>
      <x:c r="R468" s="61" t="n"/>
      <x:c r="S468" s="61" t="n"/>
      <x:c r="T468" s="79" t="n"/>
      <x:c r="U468" s="61" t="n"/>
    </x:row>
    <x:row r="469">
      <x:c r="A469" s="56" t="str">
        <x:f>IF(B469="","","TL-"&amp;TEXT(ROW()-4,"0000"))</x:f>
      </x:c>
      <x:c r="B469" s="74" t="n"/>
      <x:c r="C469" s="56" t="n"/>
      <x:c r="D469" s="58" t="n"/>
      <x:c r="E469" s="56" t="n"/>
      <x:c r="F469" s="56" t="n"/>
      <x:c r="G469" s="56" t="n"/>
      <x:c r="H469" s="56" t="n"/>
      <x:c r="I469" s="56" t="n"/>
      <x:c r="J469" s="56" t="n"/>
      <x:c r="K469" s="56" t="n"/>
      <x:c r="L469" s="58" t="str">
        <x:f>IF(B469="","",173.33)</x:f>
      </x:c>
      <x:c r="M469" s="58" t="str">
        <x:f>IF(OR(D469="",L469=""),"",D469/L469)</x:f>
      </x:c>
      <x:c r="N469" s="76" t="n"/>
      <x:c r="O469" s="76" t="str">
        <x:f>IF(OR(M469="",N469=""),"",M469*N469)</x:f>
      </x:c>
      <x:c r="P469" s="76" t="str">
        <x:f>IF(B469="","",6732)</x:f>
      </x:c>
      <x:c r="Q469" s="76" t="str">
        <x:f>IF(OR(D469="",P469=""),"",D469*P469)</x:f>
      </x:c>
      <x:c r="R469" s="56" t="n"/>
      <x:c r="S469" s="56" t="n"/>
      <x:c r="T469" s="74" t="n"/>
      <x:c r="U469" s="56" t="n"/>
    </x:row>
    <x:row r="470">
      <x:c r="A470" s="61" t="str">
        <x:f>IF(B470="","","TL-"&amp;TEXT(ROW()-4,"0000"))</x:f>
      </x:c>
      <x:c r="B470" s="79" t="n"/>
      <x:c r="C470" s="61" t="n"/>
      <x:c r="D470" s="63" t="n"/>
      <x:c r="E470" s="61" t="n"/>
      <x:c r="F470" s="61" t="n"/>
      <x:c r="G470" s="61" t="n"/>
      <x:c r="H470" s="61" t="n"/>
      <x:c r="I470" s="61" t="n"/>
      <x:c r="J470" s="61" t="n"/>
      <x:c r="K470" s="61" t="n"/>
      <x:c r="L470" s="63" t="str">
        <x:f>IF(B470="","",173.33)</x:f>
      </x:c>
      <x:c r="M470" s="63" t="str">
        <x:f>IF(OR(D470="",L470=""),"",D470/L470)</x:f>
      </x:c>
      <x:c r="N470" s="82" t="n"/>
      <x:c r="O470" s="82" t="str">
        <x:f>IF(OR(M470="",N470=""),"",M470*N470)</x:f>
      </x:c>
      <x:c r="P470" s="82" t="str">
        <x:f>IF(B470="","",6732)</x:f>
      </x:c>
      <x:c r="Q470" s="82" t="str">
        <x:f>IF(OR(D470="",P470=""),"",D470*P470)</x:f>
      </x:c>
      <x:c r="R470" s="61" t="n"/>
      <x:c r="S470" s="61" t="n"/>
      <x:c r="T470" s="79" t="n"/>
      <x:c r="U470" s="61" t="n"/>
    </x:row>
    <x:row r="471">
      <x:c r="A471" s="56" t="str">
        <x:f>IF(B471="","","TL-"&amp;TEXT(ROW()-4,"0000"))</x:f>
      </x:c>
      <x:c r="B471" s="74" t="n"/>
      <x:c r="C471" s="56" t="n"/>
      <x:c r="D471" s="58" t="n"/>
      <x:c r="E471" s="56" t="n"/>
      <x:c r="F471" s="56" t="n"/>
      <x:c r="G471" s="56" t="n"/>
      <x:c r="H471" s="56" t="n"/>
      <x:c r="I471" s="56" t="n"/>
      <x:c r="J471" s="56" t="n"/>
      <x:c r="K471" s="56" t="n"/>
      <x:c r="L471" s="58" t="str">
        <x:f>IF(B471="","",173.33)</x:f>
      </x:c>
      <x:c r="M471" s="58" t="str">
        <x:f>IF(OR(D471="",L471=""),"",D471/L471)</x:f>
      </x:c>
      <x:c r="N471" s="76" t="n"/>
      <x:c r="O471" s="76" t="str">
        <x:f>IF(OR(M471="",N471=""),"",M471*N471)</x:f>
      </x:c>
      <x:c r="P471" s="76" t="str">
        <x:f>IF(B471="","",6732)</x:f>
      </x:c>
      <x:c r="Q471" s="76" t="str">
        <x:f>IF(OR(D471="",P471=""),"",D471*P471)</x:f>
      </x:c>
      <x:c r="R471" s="56" t="n"/>
      <x:c r="S471" s="56" t="n"/>
      <x:c r="T471" s="74" t="n"/>
      <x:c r="U471" s="56" t="n"/>
    </x:row>
    <x:row r="472">
      <x:c r="A472" s="61" t="str">
        <x:f>IF(B472="","","TL-"&amp;TEXT(ROW()-4,"0000"))</x:f>
      </x:c>
      <x:c r="B472" s="79" t="n"/>
      <x:c r="C472" s="61" t="n"/>
      <x:c r="D472" s="63" t="n"/>
      <x:c r="E472" s="61" t="n"/>
      <x:c r="F472" s="61" t="n"/>
      <x:c r="G472" s="61" t="n"/>
      <x:c r="H472" s="61" t="n"/>
      <x:c r="I472" s="61" t="n"/>
      <x:c r="J472" s="61" t="n"/>
      <x:c r="K472" s="61" t="n"/>
      <x:c r="L472" s="63" t="str">
        <x:f>IF(B472="","",173.33)</x:f>
      </x:c>
      <x:c r="M472" s="63" t="str">
        <x:f>IF(OR(D472="",L472=""),"",D472/L472)</x:f>
      </x:c>
      <x:c r="N472" s="82" t="n"/>
      <x:c r="O472" s="82" t="str">
        <x:f>IF(OR(M472="",N472=""),"",M472*N472)</x:f>
      </x:c>
      <x:c r="P472" s="82" t="str">
        <x:f>IF(B472="","",6732)</x:f>
      </x:c>
      <x:c r="Q472" s="82" t="str">
        <x:f>IF(OR(D472="",P472=""),"",D472*P472)</x:f>
      </x:c>
      <x:c r="R472" s="61" t="n"/>
      <x:c r="S472" s="61" t="n"/>
      <x:c r="T472" s="79" t="n"/>
      <x:c r="U472" s="61" t="n"/>
    </x:row>
    <x:row r="473">
      <x:c r="A473" s="56" t="str">
        <x:f>IF(B473="","","TL-"&amp;TEXT(ROW()-4,"0000"))</x:f>
      </x:c>
      <x:c r="B473" s="74" t="n"/>
      <x:c r="C473" s="56" t="n"/>
      <x:c r="D473" s="58" t="n"/>
      <x:c r="E473" s="56" t="n"/>
      <x:c r="F473" s="56" t="n"/>
      <x:c r="G473" s="56" t="n"/>
      <x:c r="H473" s="56" t="n"/>
      <x:c r="I473" s="56" t="n"/>
      <x:c r="J473" s="56" t="n"/>
      <x:c r="K473" s="56" t="n"/>
      <x:c r="L473" s="58" t="str">
        <x:f>IF(B473="","",173.33)</x:f>
      </x:c>
      <x:c r="M473" s="58" t="str">
        <x:f>IF(OR(D473="",L473=""),"",D473/L473)</x:f>
      </x:c>
      <x:c r="N473" s="76" t="n"/>
      <x:c r="O473" s="76" t="str">
        <x:f>IF(OR(M473="",N473=""),"",M473*N473)</x:f>
      </x:c>
      <x:c r="P473" s="76" t="str">
        <x:f>IF(B473="","",6732)</x:f>
      </x:c>
      <x:c r="Q473" s="76" t="str">
        <x:f>IF(OR(D473="",P473=""),"",D473*P473)</x:f>
      </x:c>
      <x:c r="R473" s="56" t="n"/>
      <x:c r="S473" s="56" t="n"/>
      <x:c r="T473" s="74" t="n"/>
      <x:c r="U473" s="56" t="n"/>
    </x:row>
    <x:row r="474">
      <x:c r="A474" s="61" t="str">
        <x:f>IF(B474="","","TL-"&amp;TEXT(ROW()-4,"0000"))</x:f>
      </x:c>
      <x:c r="B474" s="79" t="n"/>
      <x:c r="C474" s="61" t="n"/>
      <x:c r="D474" s="63" t="n"/>
      <x:c r="E474" s="61" t="n"/>
      <x:c r="F474" s="61" t="n"/>
      <x:c r="G474" s="61" t="n"/>
      <x:c r="H474" s="61" t="n"/>
      <x:c r="I474" s="61" t="n"/>
      <x:c r="J474" s="61" t="n"/>
      <x:c r="K474" s="61" t="n"/>
      <x:c r="L474" s="63" t="str">
        <x:f>IF(B474="","",173.33)</x:f>
      </x:c>
      <x:c r="M474" s="63" t="str">
        <x:f>IF(OR(D474="",L474=""),"",D474/L474)</x:f>
      </x:c>
      <x:c r="N474" s="82" t="n"/>
      <x:c r="O474" s="82" t="str">
        <x:f>IF(OR(M474="",N474=""),"",M474*N474)</x:f>
      </x:c>
      <x:c r="P474" s="82" t="str">
        <x:f>IF(B474="","",6732)</x:f>
      </x:c>
      <x:c r="Q474" s="82" t="str">
        <x:f>IF(OR(D474="",P474=""),"",D474*P474)</x:f>
      </x:c>
      <x:c r="R474" s="61" t="n"/>
      <x:c r="S474" s="61" t="n"/>
      <x:c r="T474" s="79" t="n"/>
      <x:c r="U474" s="61" t="n"/>
    </x:row>
    <x:row r="475">
      <x:c r="A475" s="56" t="str">
        <x:f>IF(B475="","","TL-"&amp;TEXT(ROW()-4,"0000"))</x:f>
      </x:c>
      <x:c r="B475" s="74" t="n"/>
      <x:c r="C475" s="56" t="n"/>
      <x:c r="D475" s="58" t="n"/>
      <x:c r="E475" s="56" t="n"/>
      <x:c r="F475" s="56" t="n"/>
      <x:c r="G475" s="56" t="n"/>
      <x:c r="H475" s="56" t="n"/>
      <x:c r="I475" s="56" t="n"/>
      <x:c r="J475" s="56" t="n"/>
      <x:c r="K475" s="56" t="n"/>
      <x:c r="L475" s="58" t="str">
        <x:f>IF(B475="","",173.33)</x:f>
      </x:c>
      <x:c r="M475" s="58" t="str">
        <x:f>IF(OR(D475="",L475=""),"",D475/L475)</x:f>
      </x:c>
      <x:c r="N475" s="76" t="n"/>
      <x:c r="O475" s="76" t="str">
        <x:f>IF(OR(M475="",N475=""),"",M475*N475)</x:f>
      </x:c>
      <x:c r="P475" s="76" t="str">
        <x:f>IF(B475="","",6732)</x:f>
      </x:c>
      <x:c r="Q475" s="76" t="str">
        <x:f>IF(OR(D475="",P475=""),"",D475*P475)</x:f>
      </x:c>
      <x:c r="R475" s="56" t="n"/>
      <x:c r="S475" s="56" t="n"/>
      <x:c r="T475" s="74" t="n"/>
      <x:c r="U475" s="56" t="n"/>
    </x:row>
    <x:row r="476">
      <x:c r="A476" s="61" t="str">
        <x:f>IF(B476="","","TL-"&amp;TEXT(ROW()-4,"0000"))</x:f>
      </x:c>
      <x:c r="B476" s="79" t="n"/>
      <x:c r="C476" s="61" t="n"/>
      <x:c r="D476" s="63" t="n"/>
      <x:c r="E476" s="61" t="n"/>
      <x:c r="F476" s="61" t="n"/>
      <x:c r="G476" s="61" t="n"/>
      <x:c r="H476" s="61" t="n"/>
      <x:c r="I476" s="61" t="n"/>
      <x:c r="J476" s="61" t="n"/>
      <x:c r="K476" s="61" t="n"/>
      <x:c r="L476" s="63" t="str">
        <x:f>IF(B476="","",173.33)</x:f>
      </x:c>
      <x:c r="M476" s="63" t="str">
        <x:f>IF(OR(D476="",L476=""),"",D476/L476)</x:f>
      </x:c>
      <x:c r="N476" s="82" t="n"/>
      <x:c r="O476" s="82" t="str">
        <x:f>IF(OR(M476="",N476=""),"",M476*N476)</x:f>
      </x:c>
      <x:c r="P476" s="82" t="str">
        <x:f>IF(B476="","",6732)</x:f>
      </x:c>
      <x:c r="Q476" s="82" t="str">
        <x:f>IF(OR(D476="",P476=""),"",D476*P476)</x:f>
      </x:c>
      <x:c r="R476" s="61" t="n"/>
      <x:c r="S476" s="61" t="n"/>
      <x:c r="T476" s="79" t="n"/>
      <x:c r="U476" s="61" t="n"/>
    </x:row>
    <x:row r="477">
      <x:c r="A477" s="56" t="str">
        <x:f>IF(B477="","","TL-"&amp;TEXT(ROW()-4,"0000"))</x:f>
      </x:c>
      <x:c r="B477" s="74" t="n"/>
      <x:c r="C477" s="56" t="n"/>
      <x:c r="D477" s="58" t="n"/>
      <x:c r="E477" s="56" t="n"/>
      <x:c r="F477" s="56" t="n"/>
      <x:c r="G477" s="56" t="n"/>
      <x:c r="H477" s="56" t="n"/>
      <x:c r="I477" s="56" t="n"/>
      <x:c r="J477" s="56" t="n"/>
      <x:c r="K477" s="56" t="n"/>
      <x:c r="L477" s="58" t="str">
        <x:f>IF(B477="","",173.33)</x:f>
      </x:c>
      <x:c r="M477" s="58" t="str">
        <x:f>IF(OR(D477="",L477=""),"",D477/L477)</x:f>
      </x:c>
      <x:c r="N477" s="76" t="n"/>
      <x:c r="O477" s="76" t="str">
        <x:f>IF(OR(M477="",N477=""),"",M477*N477)</x:f>
      </x:c>
      <x:c r="P477" s="76" t="str">
        <x:f>IF(B477="","",6732)</x:f>
      </x:c>
      <x:c r="Q477" s="76" t="str">
        <x:f>IF(OR(D477="",P477=""),"",D477*P477)</x:f>
      </x:c>
      <x:c r="R477" s="56" t="n"/>
      <x:c r="S477" s="56" t="n"/>
      <x:c r="T477" s="74" t="n"/>
      <x:c r="U477" s="56" t="n"/>
    </x:row>
    <x:row r="478">
      <x:c r="A478" s="61" t="str">
        <x:f>IF(B478="","","TL-"&amp;TEXT(ROW()-4,"0000"))</x:f>
      </x:c>
      <x:c r="B478" s="79" t="n"/>
      <x:c r="C478" s="61" t="n"/>
      <x:c r="D478" s="63" t="n"/>
      <x:c r="E478" s="61" t="n"/>
      <x:c r="F478" s="61" t="n"/>
      <x:c r="G478" s="61" t="n"/>
      <x:c r="H478" s="61" t="n"/>
      <x:c r="I478" s="61" t="n"/>
      <x:c r="J478" s="61" t="n"/>
      <x:c r="K478" s="61" t="n"/>
      <x:c r="L478" s="63" t="str">
        <x:f>IF(B478="","",173.33)</x:f>
      </x:c>
      <x:c r="M478" s="63" t="str">
        <x:f>IF(OR(D478="",L478=""),"",D478/L478)</x:f>
      </x:c>
      <x:c r="N478" s="82" t="n"/>
      <x:c r="O478" s="82" t="str">
        <x:f>IF(OR(M478="",N478=""),"",M478*N478)</x:f>
      </x:c>
      <x:c r="P478" s="82" t="str">
        <x:f>IF(B478="","",6732)</x:f>
      </x:c>
      <x:c r="Q478" s="82" t="str">
        <x:f>IF(OR(D478="",P478=""),"",D478*P478)</x:f>
      </x:c>
      <x:c r="R478" s="61" t="n"/>
      <x:c r="S478" s="61" t="n"/>
      <x:c r="T478" s="79" t="n"/>
      <x:c r="U478" s="61" t="n"/>
    </x:row>
    <x:row r="479">
      <x:c r="A479" s="56" t="str">
        <x:f>IF(B479="","","TL-"&amp;TEXT(ROW()-4,"0000"))</x:f>
      </x:c>
      <x:c r="B479" s="74" t="n"/>
      <x:c r="C479" s="56" t="n"/>
      <x:c r="D479" s="58" t="n"/>
      <x:c r="E479" s="56" t="n"/>
      <x:c r="F479" s="56" t="n"/>
      <x:c r="G479" s="56" t="n"/>
      <x:c r="H479" s="56" t="n"/>
      <x:c r="I479" s="56" t="n"/>
      <x:c r="J479" s="56" t="n"/>
      <x:c r="K479" s="56" t="n"/>
      <x:c r="L479" s="58" t="str">
        <x:f>IF(B479="","",173.33)</x:f>
      </x:c>
      <x:c r="M479" s="58" t="str">
        <x:f>IF(OR(D479="",L479=""),"",D479/L479)</x:f>
      </x:c>
      <x:c r="N479" s="76" t="n"/>
      <x:c r="O479" s="76" t="str">
        <x:f>IF(OR(M479="",N479=""),"",M479*N479)</x:f>
      </x:c>
      <x:c r="P479" s="76" t="str">
        <x:f>IF(B479="","",6732)</x:f>
      </x:c>
      <x:c r="Q479" s="76" t="str">
        <x:f>IF(OR(D479="",P479=""),"",D479*P479)</x:f>
      </x:c>
      <x:c r="R479" s="56" t="n"/>
      <x:c r="S479" s="56" t="n"/>
      <x:c r="T479" s="74" t="n"/>
      <x:c r="U479" s="56" t="n"/>
    </x:row>
    <x:row r="480">
      <x:c r="A480" s="61" t="str">
        <x:f>IF(B480="","","TL-"&amp;TEXT(ROW()-4,"0000"))</x:f>
      </x:c>
      <x:c r="B480" s="79" t="n"/>
      <x:c r="C480" s="61" t="n"/>
      <x:c r="D480" s="63" t="n"/>
      <x:c r="E480" s="61" t="n"/>
      <x:c r="F480" s="61" t="n"/>
      <x:c r="G480" s="61" t="n"/>
      <x:c r="H480" s="61" t="n"/>
      <x:c r="I480" s="61" t="n"/>
      <x:c r="J480" s="61" t="n"/>
      <x:c r="K480" s="61" t="n"/>
      <x:c r="L480" s="63" t="str">
        <x:f>IF(B480="","",173.33)</x:f>
      </x:c>
      <x:c r="M480" s="63" t="str">
        <x:f>IF(OR(D480="",L480=""),"",D480/L480)</x:f>
      </x:c>
      <x:c r="N480" s="82" t="n"/>
      <x:c r="O480" s="82" t="str">
        <x:f>IF(OR(M480="",N480=""),"",M480*N480)</x:f>
      </x:c>
      <x:c r="P480" s="82" t="str">
        <x:f>IF(B480="","",6732)</x:f>
      </x:c>
      <x:c r="Q480" s="82" t="str">
        <x:f>IF(OR(D480="",P480=""),"",D480*P480)</x:f>
      </x:c>
      <x:c r="R480" s="61" t="n"/>
      <x:c r="S480" s="61" t="n"/>
      <x:c r="T480" s="79" t="n"/>
      <x:c r="U480" s="61" t="n"/>
    </x:row>
    <x:row r="481">
      <x:c r="A481" s="56" t="str">
        <x:f>IF(B481="","","TL-"&amp;TEXT(ROW()-4,"0000"))</x:f>
      </x:c>
      <x:c r="B481" s="74" t="n"/>
      <x:c r="C481" s="56" t="n"/>
      <x:c r="D481" s="58" t="n"/>
      <x:c r="E481" s="56" t="n"/>
      <x:c r="F481" s="56" t="n"/>
      <x:c r="G481" s="56" t="n"/>
      <x:c r="H481" s="56" t="n"/>
      <x:c r="I481" s="56" t="n"/>
      <x:c r="J481" s="56" t="n"/>
      <x:c r="K481" s="56" t="n"/>
      <x:c r="L481" s="58" t="str">
        <x:f>IF(B481="","",173.33)</x:f>
      </x:c>
      <x:c r="M481" s="58" t="str">
        <x:f>IF(OR(D481="",L481=""),"",D481/L481)</x:f>
      </x:c>
      <x:c r="N481" s="76" t="n"/>
      <x:c r="O481" s="76" t="str">
        <x:f>IF(OR(M481="",N481=""),"",M481*N481)</x:f>
      </x:c>
      <x:c r="P481" s="76" t="str">
        <x:f>IF(B481="","",6732)</x:f>
      </x:c>
      <x:c r="Q481" s="76" t="str">
        <x:f>IF(OR(D481="",P481=""),"",D481*P481)</x:f>
      </x:c>
      <x:c r="R481" s="56" t="n"/>
      <x:c r="S481" s="56" t="n"/>
      <x:c r="T481" s="74" t="n"/>
      <x:c r="U481" s="56" t="n"/>
    </x:row>
    <x:row r="482">
      <x:c r="A482" s="61" t="str">
        <x:f>IF(B482="","","TL-"&amp;TEXT(ROW()-4,"0000"))</x:f>
      </x:c>
      <x:c r="B482" s="79" t="n"/>
      <x:c r="C482" s="61" t="n"/>
      <x:c r="D482" s="63" t="n"/>
      <x:c r="E482" s="61" t="n"/>
      <x:c r="F482" s="61" t="n"/>
      <x:c r="G482" s="61" t="n"/>
      <x:c r="H482" s="61" t="n"/>
      <x:c r="I482" s="61" t="n"/>
      <x:c r="J482" s="61" t="n"/>
      <x:c r="K482" s="61" t="n"/>
      <x:c r="L482" s="63" t="str">
        <x:f>IF(B482="","",173.33)</x:f>
      </x:c>
      <x:c r="M482" s="63" t="str">
        <x:f>IF(OR(D482="",L482=""),"",D482/L482)</x:f>
      </x:c>
      <x:c r="N482" s="82" t="n"/>
      <x:c r="O482" s="82" t="str">
        <x:f>IF(OR(M482="",N482=""),"",M482*N482)</x:f>
      </x:c>
      <x:c r="P482" s="82" t="str">
        <x:f>IF(B482="","",6732)</x:f>
      </x:c>
      <x:c r="Q482" s="82" t="str">
        <x:f>IF(OR(D482="",P482=""),"",D482*P482)</x:f>
      </x:c>
      <x:c r="R482" s="61" t="n"/>
      <x:c r="S482" s="61" t="n"/>
      <x:c r="T482" s="79" t="n"/>
      <x:c r="U482" s="61" t="n"/>
    </x:row>
    <x:row r="483">
      <x:c r="A483" s="56" t="str">
        <x:f>IF(B483="","","TL-"&amp;TEXT(ROW()-4,"0000"))</x:f>
      </x:c>
      <x:c r="B483" s="74" t="n"/>
      <x:c r="C483" s="56" t="n"/>
      <x:c r="D483" s="58" t="n"/>
      <x:c r="E483" s="56" t="n"/>
      <x:c r="F483" s="56" t="n"/>
      <x:c r="G483" s="56" t="n"/>
      <x:c r="H483" s="56" t="n"/>
      <x:c r="I483" s="56" t="n"/>
      <x:c r="J483" s="56" t="n"/>
      <x:c r="K483" s="56" t="n"/>
      <x:c r="L483" s="58" t="str">
        <x:f>IF(B483="","",173.33)</x:f>
      </x:c>
      <x:c r="M483" s="58" t="str">
        <x:f>IF(OR(D483="",L483=""),"",D483/L483)</x:f>
      </x:c>
      <x:c r="N483" s="76" t="n"/>
      <x:c r="O483" s="76" t="str">
        <x:f>IF(OR(M483="",N483=""),"",M483*N483)</x:f>
      </x:c>
      <x:c r="P483" s="76" t="str">
        <x:f>IF(B483="","",6732)</x:f>
      </x:c>
      <x:c r="Q483" s="76" t="str">
        <x:f>IF(OR(D483="",P483=""),"",D483*P483)</x:f>
      </x:c>
      <x:c r="R483" s="56" t="n"/>
      <x:c r="S483" s="56" t="n"/>
      <x:c r="T483" s="74" t="n"/>
      <x:c r="U483" s="56" t="n"/>
    </x:row>
    <x:row r="484">
      <x:c r="A484" s="61" t="str">
        <x:f>IF(B484="","","TL-"&amp;TEXT(ROW()-4,"0000"))</x:f>
      </x:c>
      <x:c r="B484" s="79" t="n"/>
      <x:c r="C484" s="61" t="n"/>
      <x:c r="D484" s="63" t="n"/>
      <x:c r="E484" s="61" t="n"/>
      <x:c r="F484" s="61" t="n"/>
      <x:c r="G484" s="61" t="n"/>
      <x:c r="H484" s="61" t="n"/>
      <x:c r="I484" s="61" t="n"/>
      <x:c r="J484" s="61" t="n"/>
      <x:c r="K484" s="61" t="n"/>
      <x:c r="L484" s="63" t="str">
        <x:f>IF(B484="","",173.33)</x:f>
      </x:c>
      <x:c r="M484" s="63" t="str">
        <x:f>IF(OR(D484="",L484=""),"",D484/L484)</x:f>
      </x:c>
      <x:c r="N484" s="82" t="n"/>
      <x:c r="O484" s="82" t="str">
        <x:f>IF(OR(M484="",N484=""),"",M484*N484)</x:f>
      </x:c>
      <x:c r="P484" s="82" t="str">
        <x:f>IF(B484="","",6732)</x:f>
      </x:c>
      <x:c r="Q484" s="82" t="str">
        <x:f>IF(OR(D484="",P484=""),"",D484*P484)</x:f>
      </x:c>
      <x:c r="R484" s="61" t="n"/>
      <x:c r="S484" s="61" t="n"/>
      <x:c r="T484" s="79" t="n"/>
      <x:c r="U484" s="61" t="n"/>
    </x:row>
    <x:row r="485">
      <x:c r="A485" s="56" t="str">
        <x:f>IF(B485="","","TL-"&amp;TEXT(ROW()-4,"0000"))</x:f>
      </x:c>
      <x:c r="B485" s="74" t="n"/>
      <x:c r="C485" s="56" t="n"/>
      <x:c r="D485" s="58" t="n"/>
      <x:c r="E485" s="56" t="n"/>
      <x:c r="F485" s="56" t="n"/>
      <x:c r="G485" s="56" t="n"/>
      <x:c r="H485" s="56" t="n"/>
      <x:c r="I485" s="56" t="n"/>
      <x:c r="J485" s="56" t="n"/>
      <x:c r="K485" s="56" t="n"/>
      <x:c r="L485" s="58" t="str">
        <x:f>IF(B485="","",173.33)</x:f>
      </x:c>
      <x:c r="M485" s="58" t="str">
        <x:f>IF(OR(D485="",L485=""),"",D485/L485)</x:f>
      </x:c>
      <x:c r="N485" s="76" t="n"/>
      <x:c r="O485" s="76" t="str">
        <x:f>IF(OR(M485="",N485=""),"",M485*N485)</x:f>
      </x:c>
      <x:c r="P485" s="76" t="str">
        <x:f>IF(B485="","",6732)</x:f>
      </x:c>
      <x:c r="Q485" s="76" t="str">
        <x:f>IF(OR(D485="",P485=""),"",D485*P485)</x:f>
      </x:c>
      <x:c r="R485" s="56" t="n"/>
      <x:c r="S485" s="56" t="n"/>
      <x:c r="T485" s="74" t="n"/>
      <x:c r="U485" s="56" t="n"/>
    </x:row>
    <x:row r="486">
      <x:c r="A486" s="61" t="str">
        <x:f>IF(B486="","","TL-"&amp;TEXT(ROW()-4,"0000"))</x:f>
      </x:c>
      <x:c r="B486" s="79" t="n"/>
      <x:c r="C486" s="61" t="n"/>
      <x:c r="D486" s="63" t="n"/>
      <x:c r="E486" s="61" t="n"/>
      <x:c r="F486" s="61" t="n"/>
      <x:c r="G486" s="61" t="n"/>
      <x:c r="H486" s="61" t="n"/>
      <x:c r="I486" s="61" t="n"/>
      <x:c r="J486" s="61" t="n"/>
      <x:c r="K486" s="61" t="n"/>
      <x:c r="L486" s="63" t="str">
        <x:f>IF(B486="","",173.33)</x:f>
      </x:c>
      <x:c r="M486" s="63" t="str">
        <x:f>IF(OR(D486="",L486=""),"",D486/L486)</x:f>
      </x:c>
      <x:c r="N486" s="82" t="n"/>
      <x:c r="O486" s="82" t="str">
        <x:f>IF(OR(M486="",N486=""),"",M486*N486)</x:f>
      </x:c>
      <x:c r="P486" s="82" t="str">
        <x:f>IF(B486="","",6732)</x:f>
      </x:c>
      <x:c r="Q486" s="82" t="str">
        <x:f>IF(OR(D486="",P486=""),"",D486*P486)</x:f>
      </x:c>
      <x:c r="R486" s="61" t="n"/>
      <x:c r="S486" s="61" t="n"/>
      <x:c r="T486" s="79" t="n"/>
      <x:c r="U486" s="61" t="n"/>
    </x:row>
    <x:row r="487">
      <x:c r="A487" s="56" t="str">
        <x:f>IF(B487="","","TL-"&amp;TEXT(ROW()-4,"0000"))</x:f>
      </x:c>
      <x:c r="B487" s="74" t="n"/>
      <x:c r="C487" s="56" t="n"/>
      <x:c r="D487" s="58" t="n"/>
      <x:c r="E487" s="56" t="n"/>
      <x:c r="F487" s="56" t="n"/>
      <x:c r="G487" s="56" t="n"/>
      <x:c r="H487" s="56" t="n"/>
      <x:c r="I487" s="56" t="n"/>
      <x:c r="J487" s="56" t="n"/>
      <x:c r="K487" s="56" t="n"/>
      <x:c r="L487" s="58" t="str">
        <x:f>IF(B487="","",173.33)</x:f>
      </x:c>
      <x:c r="M487" s="58" t="str">
        <x:f>IF(OR(D487="",L487=""),"",D487/L487)</x:f>
      </x:c>
      <x:c r="N487" s="76" t="n"/>
      <x:c r="O487" s="76" t="str">
        <x:f>IF(OR(M487="",N487=""),"",M487*N487)</x:f>
      </x:c>
      <x:c r="P487" s="76" t="str">
        <x:f>IF(B487="","",6732)</x:f>
      </x:c>
      <x:c r="Q487" s="76" t="str">
        <x:f>IF(OR(D487="",P487=""),"",D487*P487)</x:f>
      </x:c>
      <x:c r="R487" s="56" t="n"/>
      <x:c r="S487" s="56" t="n"/>
      <x:c r="T487" s="74" t="n"/>
      <x:c r="U487" s="56" t="n"/>
    </x:row>
    <x:row r="488">
      <x:c r="A488" s="61" t="str">
        <x:f>IF(B488="","","TL-"&amp;TEXT(ROW()-4,"0000"))</x:f>
      </x:c>
      <x:c r="B488" s="79" t="n"/>
      <x:c r="C488" s="61" t="n"/>
      <x:c r="D488" s="63" t="n"/>
      <x:c r="E488" s="61" t="n"/>
      <x:c r="F488" s="61" t="n"/>
      <x:c r="G488" s="61" t="n"/>
      <x:c r="H488" s="61" t="n"/>
      <x:c r="I488" s="61" t="n"/>
      <x:c r="J488" s="61" t="n"/>
      <x:c r="K488" s="61" t="n"/>
      <x:c r="L488" s="63" t="str">
        <x:f>IF(B488="","",173.33)</x:f>
      </x:c>
      <x:c r="M488" s="63" t="str">
        <x:f>IF(OR(D488="",L488=""),"",D488/L488)</x:f>
      </x:c>
      <x:c r="N488" s="82" t="n"/>
      <x:c r="O488" s="82" t="str">
        <x:f>IF(OR(M488="",N488=""),"",M488*N488)</x:f>
      </x:c>
      <x:c r="P488" s="82" t="str">
        <x:f>IF(B488="","",6732)</x:f>
      </x:c>
      <x:c r="Q488" s="82" t="str">
        <x:f>IF(OR(D488="",P488=""),"",D488*P488)</x:f>
      </x:c>
      <x:c r="R488" s="61" t="n"/>
      <x:c r="S488" s="61" t="n"/>
      <x:c r="T488" s="79" t="n"/>
      <x:c r="U488" s="61" t="n"/>
    </x:row>
    <x:row r="489">
      <x:c r="A489" s="56" t="str">
        <x:f>IF(B489="","","TL-"&amp;TEXT(ROW()-4,"0000"))</x:f>
      </x:c>
      <x:c r="B489" s="74" t="n"/>
      <x:c r="C489" s="56" t="n"/>
      <x:c r="D489" s="58" t="n"/>
      <x:c r="E489" s="56" t="n"/>
      <x:c r="F489" s="56" t="n"/>
      <x:c r="G489" s="56" t="n"/>
      <x:c r="H489" s="56" t="n"/>
      <x:c r="I489" s="56" t="n"/>
      <x:c r="J489" s="56" t="n"/>
      <x:c r="K489" s="56" t="n"/>
      <x:c r="L489" s="58" t="str">
        <x:f>IF(B489="","",173.33)</x:f>
      </x:c>
      <x:c r="M489" s="58" t="str">
        <x:f>IF(OR(D489="",L489=""),"",D489/L489)</x:f>
      </x:c>
      <x:c r="N489" s="76" t="n"/>
      <x:c r="O489" s="76" t="str">
        <x:f>IF(OR(M489="",N489=""),"",M489*N489)</x:f>
      </x:c>
      <x:c r="P489" s="76" t="str">
        <x:f>IF(B489="","",6732)</x:f>
      </x:c>
      <x:c r="Q489" s="76" t="str">
        <x:f>IF(OR(D489="",P489=""),"",D489*P489)</x:f>
      </x:c>
      <x:c r="R489" s="56" t="n"/>
      <x:c r="S489" s="56" t="n"/>
      <x:c r="T489" s="74" t="n"/>
      <x:c r="U489" s="56" t="n"/>
    </x:row>
    <x:row r="490">
      <x:c r="A490" s="61" t="str">
        <x:f>IF(B490="","","TL-"&amp;TEXT(ROW()-4,"0000"))</x:f>
      </x:c>
      <x:c r="B490" s="79" t="n"/>
      <x:c r="C490" s="61" t="n"/>
      <x:c r="D490" s="63" t="n"/>
      <x:c r="E490" s="61" t="n"/>
      <x:c r="F490" s="61" t="n"/>
      <x:c r="G490" s="61" t="n"/>
      <x:c r="H490" s="61" t="n"/>
      <x:c r="I490" s="61" t="n"/>
      <x:c r="J490" s="61" t="n"/>
      <x:c r="K490" s="61" t="n"/>
      <x:c r="L490" s="63" t="str">
        <x:f>IF(B490="","",173.33)</x:f>
      </x:c>
      <x:c r="M490" s="63" t="str">
        <x:f>IF(OR(D490="",L490=""),"",D490/L490)</x:f>
      </x:c>
      <x:c r="N490" s="82" t="n"/>
      <x:c r="O490" s="82" t="str">
        <x:f>IF(OR(M490="",N490=""),"",M490*N490)</x:f>
      </x:c>
      <x:c r="P490" s="82" t="str">
        <x:f>IF(B490="","",6732)</x:f>
      </x:c>
      <x:c r="Q490" s="82" t="str">
        <x:f>IF(OR(D490="",P490=""),"",D490*P490)</x:f>
      </x:c>
      <x:c r="R490" s="61" t="n"/>
      <x:c r="S490" s="61" t="n"/>
      <x:c r="T490" s="79" t="n"/>
      <x:c r="U490" s="61" t="n"/>
    </x:row>
    <x:row r="491">
      <x:c r="A491" s="56" t="str">
        <x:f>IF(B491="","","TL-"&amp;TEXT(ROW()-4,"0000"))</x:f>
      </x:c>
      <x:c r="B491" s="74" t="n"/>
      <x:c r="C491" s="56" t="n"/>
      <x:c r="D491" s="58" t="n"/>
      <x:c r="E491" s="56" t="n"/>
      <x:c r="F491" s="56" t="n"/>
      <x:c r="G491" s="56" t="n"/>
      <x:c r="H491" s="56" t="n"/>
      <x:c r="I491" s="56" t="n"/>
      <x:c r="J491" s="56" t="n"/>
      <x:c r="K491" s="56" t="n"/>
      <x:c r="L491" s="58" t="str">
        <x:f>IF(B491="","",173.33)</x:f>
      </x:c>
      <x:c r="M491" s="58" t="str">
        <x:f>IF(OR(D491="",L491=""),"",D491/L491)</x:f>
      </x:c>
      <x:c r="N491" s="76" t="n"/>
      <x:c r="O491" s="76" t="str">
        <x:f>IF(OR(M491="",N491=""),"",M491*N491)</x:f>
      </x:c>
      <x:c r="P491" s="76" t="str">
        <x:f>IF(B491="","",6732)</x:f>
      </x:c>
      <x:c r="Q491" s="76" t="str">
        <x:f>IF(OR(D491="",P491=""),"",D491*P491)</x:f>
      </x:c>
      <x:c r="R491" s="56" t="n"/>
      <x:c r="S491" s="56" t="n"/>
      <x:c r="T491" s="74" t="n"/>
      <x:c r="U491" s="56" t="n"/>
    </x:row>
    <x:row r="492">
      <x:c r="A492" s="61" t="str">
        <x:f>IF(B492="","","TL-"&amp;TEXT(ROW()-4,"0000"))</x:f>
      </x:c>
      <x:c r="B492" s="79" t="n"/>
      <x:c r="C492" s="61" t="n"/>
      <x:c r="D492" s="63" t="n"/>
      <x:c r="E492" s="61" t="n"/>
      <x:c r="F492" s="61" t="n"/>
      <x:c r="G492" s="61" t="n"/>
      <x:c r="H492" s="61" t="n"/>
      <x:c r="I492" s="61" t="n"/>
      <x:c r="J492" s="61" t="n"/>
      <x:c r="K492" s="61" t="n"/>
      <x:c r="L492" s="63" t="str">
        <x:f>IF(B492="","",173.33)</x:f>
      </x:c>
      <x:c r="M492" s="63" t="str">
        <x:f>IF(OR(D492="",L492=""),"",D492/L492)</x:f>
      </x:c>
      <x:c r="N492" s="82" t="n"/>
      <x:c r="O492" s="82" t="str">
        <x:f>IF(OR(M492="",N492=""),"",M492*N492)</x:f>
      </x:c>
      <x:c r="P492" s="82" t="str">
        <x:f>IF(B492="","",6732)</x:f>
      </x:c>
      <x:c r="Q492" s="82" t="str">
        <x:f>IF(OR(D492="",P492=""),"",D492*P492)</x:f>
      </x:c>
      <x:c r="R492" s="61" t="n"/>
      <x:c r="S492" s="61" t="n"/>
      <x:c r="T492" s="79" t="n"/>
      <x:c r="U492" s="61" t="n"/>
    </x:row>
    <x:row r="493">
      <x:c r="A493" s="56" t="str">
        <x:f>IF(B493="","","TL-"&amp;TEXT(ROW()-4,"0000"))</x:f>
      </x:c>
      <x:c r="B493" s="74" t="n"/>
      <x:c r="C493" s="56" t="n"/>
      <x:c r="D493" s="58" t="n"/>
      <x:c r="E493" s="56" t="n"/>
      <x:c r="F493" s="56" t="n"/>
      <x:c r="G493" s="56" t="n"/>
      <x:c r="H493" s="56" t="n"/>
      <x:c r="I493" s="56" t="n"/>
      <x:c r="J493" s="56" t="n"/>
      <x:c r="K493" s="56" t="n"/>
      <x:c r="L493" s="58" t="str">
        <x:f>IF(B493="","",173.33)</x:f>
      </x:c>
      <x:c r="M493" s="58" t="str">
        <x:f>IF(OR(D493="",L493=""),"",D493/L493)</x:f>
      </x:c>
      <x:c r="N493" s="76" t="n"/>
      <x:c r="O493" s="76" t="str">
        <x:f>IF(OR(M493="",N493=""),"",M493*N493)</x:f>
      </x:c>
      <x:c r="P493" s="76" t="str">
        <x:f>IF(B493="","",6732)</x:f>
      </x:c>
      <x:c r="Q493" s="76" t="str">
        <x:f>IF(OR(D493="",P493=""),"",D493*P493)</x:f>
      </x:c>
      <x:c r="R493" s="56" t="n"/>
      <x:c r="S493" s="56" t="n"/>
      <x:c r="T493" s="74" t="n"/>
      <x:c r="U493" s="56" t="n"/>
    </x:row>
    <x:row r="494">
      <x:c r="A494" s="61" t="str">
        <x:f>IF(B494="","","TL-"&amp;TEXT(ROW()-4,"0000"))</x:f>
      </x:c>
      <x:c r="B494" s="79" t="n"/>
      <x:c r="C494" s="61" t="n"/>
      <x:c r="D494" s="63" t="n"/>
      <x:c r="E494" s="61" t="n"/>
      <x:c r="F494" s="61" t="n"/>
      <x:c r="G494" s="61" t="n"/>
      <x:c r="H494" s="61" t="n"/>
      <x:c r="I494" s="61" t="n"/>
      <x:c r="J494" s="61" t="n"/>
      <x:c r="K494" s="61" t="n"/>
      <x:c r="L494" s="63" t="str">
        <x:f>IF(B494="","",173.33)</x:f>
      </x:c>
      <x:c r="M494" s="63" t="str">
        <x:f>IF(OR(D494="",L494=""),"",D494/L494)</x:f>
      </x:c>
      <x:c r="N494" s="82" t="n"/>
      <x:c r="O494" s="82" t="str">
        <x:f>IF(OR(M494="",N494=""),"",M494*N494)</x:f>
      </x:c>
      <x:c r="P494" s="82" t="str">
        <x:f>IF(B494="","",6732)</x:f>
      </x:c>
      <x:c r="Q494" s="82" t="str">
        <x:f>IF(OR(D494="",P494=""),"",D494*P494)</x:f>
      </x:c>
      <x:c r="R494" s="61" t="n"/>
      <x:c r="S494" s="61" t="n"/>
      <x:c r="T494" s="79" t="n"/>
      <x:c r="U494" s="61" t="n"/>
    </x:row>
    <x:row r="495">
      <x:c r="A495" s="56" t="str">
        <x:f>IF(B495="","","TL-"&amp;TEXT(ROW()-4,"0000"))</x:f>
      </x:c>
      <x:c r="B495" s="74" t="n"/>
      <x:c r="C495" s="56" t="n"/>
      <x:c r="D495" s="58" t="n"/>
      <x:c r="E495" s="56" t="n"/>
      <x:c r="F495" s="56" t="n"/>
      <x:c r="G495" s="56" t="n"/>
      <x:c r="H495" s="56" t="n"/>
      <x:c r="I495" s="56" t="n"/>
      <x:c r="J495" s="56" t="n"/>
      <x:c r="K495" s="56" t="n"/>
      <x:c r="L495" s="58" t="str">
        <x:f>IF(B495="","",173.33)</x:f>
      </x:c>
      <x:c r="M495" s="58" t="str">
        <x:f>IF(OR(D495="",L495=""),"",D495/L495)</x:f>
      </x:c>
      <x:c r="N495" s="76" t="n"/>
      <x:c r="O495" s="76" t="str">
        <x:f>IF(OR(M495="",N495=""),"",M495*N495)</x:f>
      </x:c>
      <x:c r="P495" s="76" t="str">
        <x:f>IF(B495="","",6732)</x:f>
      </x:c>
      <x:c r="Q495" s="76" t="str">
        <x:f>IF(OR(D495="",P495=""),"",D495*P495)</x:f>
      </x:c>
      <x:c r="R495" s="56" t="n"/>
      <x:c r="S495" s="56" t="n"/>
      <x:c r="T495" s="74" t="n"/>
      <x:c r="U495" s="56" t="n"/>
    </x:row>
    <x:row r="496">
      <x:c r="A496" s="61" t="str">
        <x:f>IF(B496="","","TL-"&amp;TEXT(ROW()-4,"0000"))</x:f>
      </x:c>
      <x:c r="B496" s="79" t="n"/>
      <x:c r="C496" s="61" t="n"/>
      <x:c r="D496" s="63" t="n"/>
      <x:c r="E496" s="61" t="n"/>
      <x:c r="F496" s="61" t="n"/>
      <x:c r="G496" s="61" t="n"/>
      <x:c r="H496" s="61" t="n"/>
      <x:c r="I496" s="61" t="n"/>
      <x:c r="J496" s="61" t="n"/>
      <x:c r="K496" s="61" t="n"/>
      <x:c r="L496" s="63" t="str">
        <x:f>IF(B496="","",173.33)</x:f>
      </x:c>
      <x:c r="M496" s="63" t="str">
        <x:f>IF(OR(D496="",L496=""),"",D496/L496)</x:f>
      </x:c>
      <x:c r="N496" s="82" t="n"/>
      <x:c r="O496" s="82" t="str">
        <x:f>IF(OR(M496="",N496=""),"",M496*N496)</x:f>
      </x:c>
      <x:c r="P496" s="82" t="str">
        <x:f>IF(B496="","",6732)</x:f>
      </x:c>
      <x:c r="Q496" s="82" t="str">
        <x:f>IF(OR(D496="",P496=""),"",D496*P496)</x:f>
      </x:c>
      <x:c r="R496" s="61" t="n"/>
      <x:c r="S496" s="61" t="n"/>
      <x:c r="T496" s="79" t="n"/>
      <x:c r="U496" s="61" t="n"/>
    </x:row>
    <x:row r="497">
      <x:c r="A497" s="56" t="str">
        <x:f>IF(B497="","","TL-"&amp;TEXT(ROW()-4,"0000"))</x:f>
      </x:c>
      <x:c r="B497" s="74" t="n"/>
      <x:c r="C497" s="56" t="n"/>
      <x:c r="D497" s="58" t="n"/>
      <x:c r="E497" s="56" t="n"/>
      <x:c r="F497" s="56" t="n"/>
      <x:c r="G497" s="56" t="n"/>
      <x:c r="H497" s="56" t="n"/>
      <x:c r="I497" s="56" t="n"/>
      <x:c r="J497" s="56" t="n"/>
      <x:c r="K497" s="56" t="n"/>
      <x:c r="L497" s="58" t="str">
        <x:f>IF(B497="","",173.33)</x:f>
      </x:c>
      <x:c r="M497" s="58" t="str">
        <x:f>IF(OR(D497="",L497=""),"",D497/L497)</x:f>
      </x:c>
      <x:c r="N497" s="76" t="n"/>
      <x:c r="O497" s="76" t="str">
        <x:f>IF(OR(M497="",N497=""),"",M497*N497)</x:f>
      </x:c>
      <x:c r="P497" s="76" t="str">
        <x:f>IF(B497="","",6732)</x:f>
      </x:c>
      <x:c r="Q497" s="76" t="str">
        <x:f>IF(OR(D497="",P497=""),"",D497*P497)</x:f>
      </x:c>
      <x:c r="R497" s="56" t="n"/>
      <x:c r="S497" s="56" t="n"/>
      <x:c r="T497" s="74" t="n"/>
      <x:c r="U497" s="56" t="n"/>
    </x:row>
    <x:row r="498">
      <x:c r="A498" s="61" t="str">
        <x:f>IF(B498="","","TL-"&amp;TEXT(ROW()-4,"0000"))</x:f>
      </x:c>
      <x:c r="B498" s="79" t="n"/>
      <x:c r="C498" s="61" t="n"/>
      <x:c r="D498" s="63" t="n"/>
      <x:c r="E498" s="61" t="n"/>
      <x:c r="F498" s="61" t="n"/>
      <x:c r="G498" s="61" t="n"/>
      <x:c r="H498" s="61" t="n"/>
      <x:c r="I498" s="61" t="n"/>
      <x:c r="J498" s="61" t="n"/>
      <x:c r="K498" s="61" t="n"/>
      <x:c r="L498" s="63" t="str">
        <x:f>IF(B498="","",173.33)</x:f>
      </x:c>
      <x:c r="M498" s="63" t="str">
        <x:f>IF(OR(D498="",L498=""),"",D498/L498)</x:f>
      </x:c>
      <x:c r="N498" s="82" t="n"/>
      <x:c r="O498" s="82" t="str">
        <x:f>IF(OR(M498="",N498=""),"",M498*N498)</x:f>
      </x:c>
      <x:c r="P498" s="82" t="str">
        <x:f>IF(B498="","",6732)</x:f>
      </x:c>
      <x:c r="Q498" s="82" t="str">
        <x:f>IF(OR(D498="",P498=""),"",D498*P498)</x:f>
      </x:c>
      <x:c r="R498" s="61" t="n"/>
      <x:c r="S498" s="61" t="n"/>
      <x:c r="T498" s="79" t="n"/>
      <x:c r="U498" s="61" t="n"/>
    </x:row>
    <x:row r="499">
      <x:c r="A499" s="56" t="str">
        <x:f>IF(B499="","","TL-"&amp;TEXT(ROW()-4,"0000"))</x:f>
      </x:c>
      <x:c r="B499" s="74" t="n"/>
      <x:c r="C499" s="56" t="n"/>
      <x:c r="D499" s="58" t="n"/>
      <x:c r="E499" s="56" t="n"/>
      <x:c r="F499" s="56" t="n"/>
      <x:c r="G499" s="56" t="n"/>
      <x:c r="H499" s="56" t="n"/>
      <x:c r="I499" s="56" t="n"/>
      <x:c r="J499" s="56" t="n"/>
      <x:c r="K499" s="56" t="n"/>
      <x:c r="L499" s="58" t="str">
        <x:f>IF(B499="","",173.33)</x:f>
      </x:c>
      <x:c r="M499" s="58" t="str">
        <x:f>IF(OR(D499="",L499=""),"",D499/L499)</x:f>
      </x:c>
      <x:c r="N499" s="76" t="n"/>
      <x:c r="O499" s="76" t="str">
        <x:f>IF(OR(M499="",N499=""),"",M499*N499)</x:f>
      </x:c>
      <x:c r="P499" s="76" t="str">
        <x:f>IF(B499="","",6732)</x:f>
      </x:c>
      <x:c r="Q499" s="76" t="str">
        <x:f>IF(OR(D499="",P499=""),"",D499*P499)</x:f>
      </x:c>
      <x:c r="R499" s="56" t="n"/>
      <x:c r="S499" s="56" t="n"/>
      <x:c r="T499" s="74" t="n"/>
      <x:c r="U499" s="56" t="n"/>
    </x:row>
    <x:row r="500">
      <x:c r="A500" s="61" t="str">
        <x:f>IF(B500="","","TL-"&amp;TEXT(ROW()-4,"0000"))</x:f>
      </x:c>
      <x:c r="B500" s="79" t="n"/>
      <x:c r="C500" s="61" t="n"/>
      <x:c r="D500" s="63" t="n"/>
      <x:c r="E500" s="61" t="n"/>
      <x:c r="F500" s="61" t="n"/>
      <x:c r="G500" s="61" t="n"/>
      <x:c r="H500" s="61" t="n"/>
      <x:c r="I500" s="61" t="n"/>
      <x:c r="J500" s="61" t="n"/>
      <x:c r="K500" s="61" t="n"/>
      <x:c r="L500" s="63" t="str">
        <x:f>IF(B500="","",173.33)</x:f>
      </x:c>
      <x:c r="M500" s="63" t="str">
        <x:f>IF(OR(D500="",L500=""),"",D500/L500)</x:f>
      </x:c>
      <x:c r="N500" s="82" t="n"/>
      <x:c r="O500" s="82" t="str">
        <x:f>IF(OR(M500="",N500=""),"",M500*N500)</x:f>
      </x:c>
      <x:c r="P500" s="82" t="str">
        <x:f>IF(B500="","",6732)</x:f>
      </x:c>
      <x:c r="Q500" s="82" t="str">
        <x:f>IF(OR(D500="",P500=""),"",D500*P500)</x:f>
      </x:c>
      <x:c r="R500" s="61" t="n"/>
      <x:c r="S500" s="61" t="n"/>
      <x:c r="T500" s="79" t="n"/>
      <x:c r="U500" s="61" t="n"/>
    </x:row>
    <x:row r="501">
      <x:c r="A501" s="56" t="str">
        <x:f>IF(B501="","","TL-"&amp;TEXT(ROW()-4,"0000"))</x:f>
      </x:c>
      <x:c r="B501" s="57" t="n"/>
      <x:c r="C501" s="56" t="n"/>
      <x:c r="D501" s="58" t="n"/>
      <x:c r="E501" s="56" t="n"/>
      <x:c r="F501" s="56" t="n"/>
      <x:c r="G501" s="56" t="n"/>
      <x:c r="H501" s="56" t="n"/>
      <x:c r="I501" s="56" t="n"/>
      <x:c r="J501" s="56" t="n"/>
      <x:c r="K501" s="56" t="n"/>
      <x:c r="L501" s="56" t="n"/>
      <x:c r="M501" s="59" t="str">
        <x:f>IF(OR(D501="",L501=""),"",D501/L501)</x:f>
      </x:c>
      <x:c r="N501" s="60" t="n"/>
      <x:c r="O501" s="60" t="str">
        <x:f>IF(OR(M501="",N501=""),"",M501*N501)</x:f>
      </x:c>
      <x:c r="P501" s="60" t="n"/>
      <x:c r="Q501" s="60" t="str">
        <x:f>IF(OR(D501="",P501=""),"",D501*P501)</x:f>
      </x:c>
      <x:c r="R501" s="56" t="n"/>
      <x:c r="S501" s="56" t="n"/>
      <x:c r="T501" s="57" t="n"/>
      <x:c r="U501" s="56" t="n"/>
    </x:row>
    <x:row r="502">
      <x:c r="A502" s="61" t="str">
        <x:f>IF(B502="","","TL-"&amp;TEXT(ROW()-4,"0000"))</x:f>
      </x:c>
      <x:c r="B502" s="62" t="n"/>
      <x:c r="C502" s="61" t="n"/>
      <x:c r="D502" s="63" t="n"/>
      <x:c r="E502" s="61" t="n"/>
      <x:c r="F502" s="61" t="n"/>
      <x:c r="G502" s="61" t="n"/>
      <x:c r="H502" s="61" t="n"/>
      <x:c r="I502" s="61" t="n"/>
      <x:c r="J502" s="61" t="n"/>
      <x:c r="K502" s="61" t="n"/>
      <x:c r="L502" s="61" t="n"/>
      <x:c r="M502" s="64" t="str">
        <x:f>IF(OR(D502="",L502=""),"",D502/L502)</x:f>
      </x:c>
      <x:c r="N502" s="65" t="n"/>
      <x:c r="O502" s="65" t="str">
        <x:f>IF(OR(M502="",N502=""),"",M502*N502)</x:f>
      </x:c>
      <x:c r="P502" s="65" t="n"/>
      <x:c r="Q502" s="65" t="str">
        <x:f>IF(OR(D502="",P502=""),"",D502*P502)</x:f>
      </x:c>
      <x:c r="R502" s="61" t="n"/>
      <x:c r="S502" s="61" t="n"/>
      <x:c r="T502" s="62" t="n"/>
      <x:c r="U502" s="61" t="n"/>
    </x:row>
    <x:row r="503">
      <x:c r="A503" s="56" t="str">
        <x:f>IF(B503="","","TL-"&amp;TEXT(ROW()-4,"0000"))</x:f>
      </x:c>
      <x:c r="B503" s="57" t="n"/>
      <x:c r="C503" s="56" t="n"/>
      <x:c r="D503" s="58" t="n"/>
      <x:c r="E503" s="56" t="n"/>
      <x:c r="F503" s="56" t="n"/>
      <x:c r="G503" s="56" t="n"/>
      <x:c r="H503" s="56" t="n"/>
      <x:c r="I503" s="56" t="n"/>
      <x:c r="J503" s="56" t="n"/>
      <x:c r="K503" s="56" t="n"/>
      <x:c r="L503" s="56" t="n"/>
      <x:c r="M503" s="59" t="str">
        <x:f>IF(OR(D503="",L503=""),"",D503/L503)</x:f>
      </x:c>
      <x:c r="N503" s="60" t="n"/>
      <x:c r="O503" s="60" t="str">
        <x:f>IF(OR(M503="",N503=""),"",M503*N503)</x:f>
      </x:c>
      <x:c r="P503" s="60" t="n"/>
      <x:c r="Q503" s="60" t="str">
        <x:f>IF(OR(D503="",P503=""),"",D503*P503)</x:f>
      </x:c>
      <x:c r="R503" s="56" t="n"/>
      <x:c r="S503" s="56" t="n"/>
      <x:c r="T503" s="57" t="n"/>
      <x:c r="U503" s="56" t="n"/>
    </x:row>
    <x:row r="504">
      <x:c r="A504" s="61" t="str">
        <x:f>IF(B504="","","TL-"&amp;TEXT(ROW()-4,"0000"))</x:f>
      </x:c>
      <x:c r="B504" s="62" t="n"/>
      <x:c r="C504" s="61" t="n"/>
      <x:c r="D504" s="63" t="n"/>
      <x:c r="E504" s="61" t="n"/>
      <x:c r="F504" s="61" t="n"/>
      <x:c r="G504" s="61" t="n"/>
      <x:c r="H504" s="61" t="n"/>
      <x:c r="I504" s="61" t="n"/>
      <x:c r="J504" s="61" t="n"/>
      <x:c r="K504" s="61" t="n"/>
      <x:c r="L504" s="61" t="n"/>
      <x:c r="M504" s="64" t="str">
        <x:f>IF(OR(D504="",L504=""),"",D504/L504)</x:f>
      </x:c>
      <x:c r="N504" s="65" t="n"/>
      <x:c r="O504" s="65" t="str">
        <x:f>IF(OR(M504="",N504=""),"",M504*N504)</x:f>
      </x:c>
      <x:c r="P504" s="65" t="n"/>
      <x:c r="Q504" s="65" t="str">
        <x:f>IF(OR(D504="",P504=""),"",D504*P504)</x:f>
      </x:c>
      <x:c r="R504" s="61" t="n"/>
      <x:c r="S504" s="61" t="n"/>
      <x:c r="T504" s="62" t="n"/>
      <x:c r="U504" s="61" t="n"/>
    </x:row>
  </x:sheetData>
  <x:mergeCells>
    <x:mergeCell ref="A1:U1"/>
    <x:mergeCell ref="A2:U2"/>
  </x:mergeCells>
  <x:conditionalFormatting sqref="R5:R500">
    <x:cfRule type="expression" dxfId="0" priority="1">
      <x:formula>R5="Greitt / bókað"</x:formula>
    </x:cfRule>
    <x:cfRule type="expression" dxfId="1" priority="2">
      <x:formula>R5="Ekki kostnaðarhæft"</x:formula>
    </x:cfRule>
    <x:cfRule type="expression" dxfId="2" priority="3">
      <x:formula>R5="Til staðfestingar"</x:formula>
    </x:cfRule>
  </x:conditionalFormatting>
  <x:conditionalFormatting sqref="S5:S500">
    <x:cfRule type="expression" dxfId="0" priority="4">
      <x:formula>S5="Já"</x:formula>
    </x:cfRule>
    <x:cfRule type="expression" dxfId="4" priority="5">
      <x:formula>S5="Nei"</x:formula>
    </x:cfRule>
  </x:conditionalFormatting>
  <x:dataValidations count="7">
    <x:dataValidation type="list" allowBlank="1" showDropDown="0" showInputMessage="0" showErrorMessage="0" sqref="S5:S504">
      <x:formula1>"Já,Nei"</x:formula1>
    </x:dataValidation>
    <x:dataValidation type="list" allowBlank="0" showDropDown="0" showInputMessage="0" showErrorMessage="0" sqref="E5:E500">
      <x:formula1>Lists!$A$1:$A$7</x:formula1>
    </x:dataValidation>
    <x:dataValidation type="list" allowBlank="0" showDropDown="0" showInputMessage="0" showErrorMessage="0" sqref="F5:F500">
      <x:formula1>Lists!$B$1:$B$6</x:formula1>
    </x:dataValidation>
    <x:dataValidation type="list" allowBlank="0" showDropDown="0" showInputMessage="0" showErrorMessage="0" sqref="G5:G500">
      <x:formula1>Lists!$C$1:$C$18</x:formula1>
    </x:dataValidation>
    <x:dataValidation type="list" allowBlank="0" showDropDown="0" showInputMessage="0" showErrorMessage="0" sqref="K5:K500">
      <x:formula1>Lists!$E$1:$E$8</x:formula1>
    </x:dataValidation>
    <x:dataValidation type="list" allowBlank="0" showDropDown="0" showInputMessage="0" showErrorMessage="0" sqref="R5:R500">
      <x:formula1>Lists!$D$1:$D$5</x:formula1>
    </x:dataValidation>
    <x:dataValidation type="list" allowBlank="0" showDropDown="0" showInputMessage="0" showErrorMessage="0" sqref="S5:S500">
      <x:formula1>"Já,Nei"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34" hidden="0" customWidth="1"/>
    <x:col min="3" max="3" width="9" hidden="0" customWidth="1"/>
    <x:col min="4" max="4" width="88" hidden="0" customWidth="1"/>
    <x:col min="5" max="5" width="34" hidden="0" customWidth="1"/>
    <x:col min="6" max="6" width="11" hidden="0" customWidth="1"/>
  </x:cols>
  <x:sheetData>
    <x:row r="1" ht="15" hidden="0" customHeight="1">
      <x:c r="A1" s="159" t="inlineStr">
        <x:is>
          <x:t xml:space="preserve">Dagsetning</x:t>
        </x:is>
      </x:c>
      <x:c r="B1" s="159" t="inlineStr">
        <x:is>
          <x:t xml:space="preserve">Áfangi</x:t>
        </x:is>
      </x:c>
      <x:c r="C1" s="159" t="inlineStr">
        <x:is>
          <x:t xml:space="preserve">WP</x:t>
        </x:is>
      </x:c>
      <x:c r="D1" s="159" t="inlineStr">
        <x:is>
          <x:t xml:space="preserve">Lýsing</x:t>
        </x:is>
      </x:c>
      <x:c r="E1" s="159" t="inlineStr">
        <x:is>
          <x:t xml:space="preserve">Sannanir</x:t>
        </x:is>
      </x:c>
      <x:c r="F1" s="159" t="inlineStr">
        <x:is>
          <x:t xml:space="preserve">Impact</x:t>
        </x:is>
      </x:c>
    </x:row>
    <x:row r="2" ht="15" hidden="0" customHeight="1">
      <x:c r="A2" s="160" t="inlineStr">
        <x:is>
          <x:t xml:space="preserve">2026-07-09</x:t>
        </x:is>
      </x:c>
      <x:c r="B2" s="160" t="inlineStr">
        <x:is>
          <x:t xml:space="preserve">Fræ styrkur virkjaður</x:t>
        </x:is>
      </x:c>
      <x:c r="C2" s="160" t="inlineStr">
        <x:is>
          <x:t xml:space="preserve">PM</x:t>
        </x:is>
      </x:c>
      <x:c r="D2" s="160" t="inlineStr">
        <x:is>
          <x:t xml:space="preserve">Verkefni hófst og styrktímabil hafið</x:t>
        </x:is>
      </x:c>
      <x:c r="E2" s="160" t="inlineStr">
        <x:is>
          <x:t xml:space="preserve">Samningur</x:t>
        </x:is>
      </x:c>
      <x:c r="F2" s="160" t="inlineStr">
        <x:is>
          <x:t xml:space="preserve">High</x:t>
        </x:is>
      </x:c>
    </x:row>
    <x:row r="3" ht="15" hidden="0" customHeight="1">
      <x:c r="A3" s="160" t="inlineStr">
        <x:is>
          <x:t xml:space="preserve">2026-07-20</x:t>
        </x:is>
      </x:c>
      <x:c r="B3" s="160" t="inlineStr">
        <x:is>
          <x:t xml:space="preserve">Validation ferð lokið</x:t>
        </x:is>
      </x:c>
      <x:c r="C3" s="160" t="inlineStr">
        <x:is>
          <x:t xml:space="preserve">WP1</x:t>
        </x:is>
      </x:c>
      <x:c r="D3" s="160" t="inlineStr">
        <x:is>
          <x:t xml:space="preserve">Vettvangsprófanir og gagnasöfnun lokið</x:t>
        </x:is>
      </x:c>
      <x:c r="E3" s="160" t="inlineStr">
        <x:is>
          <x:t xml:space="preserve">Skýrslur</x:t>
        </x:is>
      </x:c>
      <x:c r="F3" s="160" t="inlineStr">
        <x:is>
          <x:t xml:space="preserve">High</x:t>
        </x:is>
      </x:c>
    </x:row>
    <x:row r="4" ht="15" hidden="0" customHeight="1">
      <x:c r="A4" s="160" t="inlineStr">
        <x:is>
          <x:t xml:space="preserve">2026-07-23</x:t>
        </x:is>
      </x:c>
      <x:c r="B4" s="160" t="inlineStr">
        <x:is>
          <x:t xml:space="preserve">GA4 Free→Pro mælingar</x:t>
        </x:is>
      </x:c>
      <x:c r="C4" s="160" t="inlineStr">
        <x:is>
          <x:t xml:space="preserve">WP2</x:t>
        </x:is>
      </x:c>
      <x:c r="D4" s="160" t="inlineStr">
        <x:is>
          <x:t xml:space="preserve">Innleiðing á funnel og mælingum</x:t>
        </x:is>
      </x:c>
      <x:c r="E4" s="160" t="inlineStr">
        <x:is>
          <x:t xml:space="preserve">GitHub / GA4</x:t>
        </x:is>
      </x:c>
      <x:c r="F4" s="160" t="inlineStr">
        <x:is>
          <x:t xml:space="preserve">Medium</x:t>
        </x:is>
      </x:c>
    </x:row>
    <x:row r="5" ht="15" hidden="0" customHeight="1">
      <x:c r="A5" s="160" t="inlineStr">
        <x:is>
          <x:t xml:space="preserve">2026-08-05</x:t>
        </x:is>
      </x:c>
      <x:c r="B5" s="160" t="inlineStr">
        <x:is>
          <x:t xml:space="preserve">One-time ferðapassar í production</x:t>
        </x:is>
      </x:c>
      <x:c r="C5" s="160" t="inlineStr">
        <x:is>
          <x:t xml:space="preserve">WP1</x:t>
        </x:is>
      </x:c>
      <x:c r="D5" s="160" t="inlineStr">
        <x:is>
          <x:t xml:space="preserve">30 daga og árspassar komnir í loftið, Paddle samþætting, production staðfest</x:t>
        </x:is>
      </x:c>
      <x:c r="E5" s="160" t="inlineStr">
        <x:is>
          <x:t xml:space="preserve">Deploy + prófanir</x:t>
        </x:is>
      </x:c>
      <x:c r="F5" s="160" t="inlineStr">
        <x:is>
          <x:t xml:space="preserve">High</x:t>
        </x:is>
      </x:c>
    </x:row>
    <x:row r="6" ht="15" hidden="0" customHeight="1">
      <x:c r="A6" s="160" t="str">
        <x:v>2026-08-13</x:v>
      </x:c>
      <x:c r="B6" s="160" t="str">
        <x:v>Free-v2 / Pro conversion lokið</x:v>
      </x:c>
      <x:c r="C6" s="160" t="str">
        <x:v>WP1</x:v>
      </x:c>
      <x:c r="D6" s="160" t="str">
        <x:v>Miði 6 og allur Miði 7 lokið: soft-gating, attribution, pricing/value-positioning og PricingInfo second-value-layer.</x:v>
      </x:c>
      <x:c r="E6" s="160" t="str">
        <x:v>GitHub / prófanir / Project Status</x:v>
      </x:c>
      <x:c r="F6" s="160" t="str">
        <x:v>High</x:v>
      </x:c>
    </x:row>
    <x:row r="7" ht="26.399999618530273" hidden="0" customHeight="1">
      <x:c r="A7" s="160" t="str">
        <x:v>2026-08-17</x:v>
      </x:c>
      <x:c r="B7" s="160" t="str">
        <x:v>Dependency security refresh lokið</x:v>
      </x:c>
      <x:c r="C7" s="160" t="str">
        <x:v>WP1</x:v>
      </x:c>
      <x:c r="D7" s="160" t="str">
        <x:v>Miði #217 lokaður. Full audit lækkaði úr 9 í 2; production audit er áfram 0. Eftirstandandi brace-expansion og fast-uri eru transitive undir workbox-build@7.4.1 og skráð sem backlog/upstream risk.</x:v>
      </x:c>
      <x:c r="E7" s="160" t="str">
        <x:v>GitHub #217 og #379 / npm audit</x:v>
      </x:c>
      <x:c r="F7" s="160" t="str">
        <x:v>High</x:v>
      </x:c>
    </x:row>
    <x:row r="8" ht="26.399999618530273" hidden="0" customHeight="1">
      <x:c r="A8" s="160" t="str">
        <x:v>2026-08-17</x:v>
      </x:c>
      <x:c r="B8" s="160" t="str">
        <x:v>Canonical decision-card í production</x:v>
      </x:c>
      <x:c r="C8" s="160" t="str">
        <x:v>WP1</x:v>
      </x:c>
      <x:c r="D8" s="160" t="str">
        <x:v>Canonical homepage decision-card deployað 17.08.2026 kl. 19:02 UTC. GA4 semantic cutover yfir í travel_advisor_destination_locked tók gildi frá sama tíma.</x:v>
      </x:c>
      <x:c r="E8" s="160" t="str">
        <x:v>Production deploy / GA4</x:v>
      </x:c>
      <x:c r="F8" s="160" t="str">
        <x:v>High</x:v>
      </x:c>
    </x:row>
    <x:row r="9" ht="39.599998474121094" hidden="0" customHeight="1">
      <x:c r="A9" s="160" t="str">
        <x:v>2026-08-19</x:v>
      </x:c>
      <x:c r="B9" s="160" t="str">
        <x:v>Óvænt Claude usage credits gjald</x:v>
      </x:c>
      <x:c r="C9" s="160" t="str">
        <x:v>WP5</x:v>
      </x:c>
      <x:c r="D9" s="160" t="str">
        <x:v>Claude usage credits reyndust virk og $49.42 höfðu verið notaðir án þess að kostnaðurinn væri þekktur fyrirfram. Skráð sem óvæntur verkfæra-/þjónustukostnaður; yfirfara billing-stillingar og slökkva á eða takmarka extra usage eftir þörfum.</x:v>
      </x:c>
      <x:c r="E9" s="160" t="str">
        <x:v>Claude usage credits: $49.42 spent / https://support.claude.com/en/articles/12429409-extra-usage-for-paid-claude-plans</x:v>
      </x:c>
      <x:c r="F9" s="160" t="str">
        <x:v>High</x:v>
      </x:c>
    </x:row>
    <x:row r="10" ht="54" customHeight="1">
      <x:c r="A10" t="str">
        <x:v>2026-08-19</x:v>
      </x:c>
      <x:c r="B10" t="str">
        <x:v>Open-Meteo API Standard keypt</x:v>
      </x:c>
      <x:c r="C10" t="str">
        <x:v>WP1</x:v>
      </x:c>
      <x:c r="D10" t="str">
        <x:v>Open-Meteo API Standard áskrift fyrir tímabilið 19.08.–19.09.2026 greidd. Heildarkostnaður €29,00; kortafærsla 4.289 kr. samkvæmt kvittun.</x:v>
      </x:c>
      <x:c r="E10" t="str">
        <x:v>Invoice FNL24G5B-0006: https://drive.google.com/file/d/1tXcWc75qiPacO6zkCnFYhG7Bultxyh2r/view / Receipt 2708-4603: https://drive.google.com/file/d/1wxOZY1TKaJ8ug9JhdnVQJb2u25Oz757o/view</x:v>
      </x:c>
      <x:c r="F10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DADE2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</x:cols>
  <x:sheetData>
    <x:row r="1" s="97" customFormat="1" ht="30" customHeight="1">
      <x:c r="A1" s="37" t="inlineStr">
        <x:is>
          <x:t xml:space="preserve">WP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Verkefnastýringarsýn. Sama færsla getur verið WP1 og jafnframt TÞS-flokkurinn Laun og launatengd gjöld.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WP / verkefnaflokkur</x:t>
        </x:is>
      </x:c>
      <x:c r="B4" s="84" t="inlineStr">
        <x:is>
          <x:t xml:space="preserve">Áætluð ráðstöfun</x:t>
        </x:is>
      </x:c>
      <x:c r="C4" s="84" t="inlineStr">
        <x:is>
          <x:t xml:space="preserve">Skráðir tímar</x:t>
        </x:is>
      </x:c>
      <x:c r="D4" s="84" t="inlineStr">
        <x:is>
          <x:t xml:space="preserve">Mannmánuðir</x:t>
        </x:is>
      </x:c>
      <x:c r="E4" s="84" t="inlineStr">
        <x:is>
          <x:t xml:space="preserve">Formlegur launakostnaður</x:t>
        </x:is>
      </x:c>
      <x:c r="F4" s="84" t="inlineStr">
        <x:is>
          <x:t xml:space="preserve">Innra reiknað virði</x:t>
        </x:is>
      </x:c>
    </x:row>
    <x:row r="5">
      <x:c r="A5" s="66" t="inlineStr">
        <x:is>
          <x:t xml:space="preserve">WP0 - Verkefnastjórnun og uppsetning</x:t>
        </x:is>
      </x:c>
      <x:c r="B5" s="100" t="n">
        <x:v>0</x:v>
      </x:c>
      <x:c r="C5" s="103" t="n">
        <x:f>SUMIF('Time Log'!$E$5:$E$500,A5,'Time Log'!$D$5:$D$500)</x:f>
        <x:v>9</x:v>
      </x:c>
      <x:c r="D5" s="103" t="n">
        <x:f>SUMIF('Time Log'!$E$5:$E$500,A5,'Time Log'!$M$5:$M$500)</x:f>
        <x:v>0.05192407546298966</x:v>
      </x:c>
      <x:c r="E5" s="100" t="n">
        <x:f>SUMIF('Time Log'!$E$5:$E$500,A5,'Time Log'!$O$5:$O$500)</x:f>
        <x:v>0</x:v>
      </x:c>
      <x:c r="F5" s="100" t="n">
        <x:f>SUMIF('Time Log'!$E$5:$E$500,A5,'Time Log'!$Q$5:$Q$500)</x:f>
        <x:v>60588</x:v>
      </x:c>
    </x:row>
    <x:row r="6">
      <x:c r="A6" s="66" t="inlineStr">
        <x:is>
          <x:t xml:space="preserve">WP1 - Reiknilíkan og tæknileg sannprófun</x:t>
        </x:is>
      </x:c>
      <x:c r="B6" s="100" t="n">
        <x:v>700000</x:v>
      </x:c>
      <x:c r="C6" s="103" t="n">
        <x:f>SUMIF('Time Log'!$E$5:$E$500,A6,'Time Log'!$D$5:$D$500)</x:f>
        <x:v>26.1666666667</x:v>
      </x:c>
      <x:c r="D6" s="103" t="n">
        <x:f>SUMIF('Time Log'!$E$5:$E$500,A6,'Time Log'!$M$5:$M$500)</x:f>
        <x:v>0.15096444162406966</x:v>
      </x:c>
      <x:c r="E6" s="100" t="n">
        <x:f>SUMIF('Time Log'!$E$5:$E$500,A6,'Time Log'!$O$5:$O$500)</x:f>
        <x:v>0</x:v>
      </x:c>
      <x:c r="F6" s="100" t="n">
        <x:f>SUMIF('Time Log'!$E$5:$E$500,A6,'Time Log'!$Q$5:$Q$500)</x:f>
        <x:v>176154.0000002244</x:v>
      </x:c>
    </x:row>
    <x:row r="7">
      <x:c r="A7" s="66" t="inlineStr">
        <x:is>
          <x:t xml:space="preserve">WP2 - Notendaprófanir og rannsóknir</x:t>
        </x:is>
      </x:c>
      <x:c r="B7" s="100" t="n">
        <x:v>350000</x:v>
      </x:c>
      <x:c r="C7" s="103" t="n">
        <x:f>SUMIF('Time Log'!$E$5:$E$500,A7,'Time Log'!$D$5:$D$500)</x:f>
        <x:v>0</x:v>
      </x:c>
      <x:c r="D7" s="103" t="n">
        <x:f>SUMIF('Time Log'!$E$5:$E$500,A7,'Time Log'!$M$5:$M$500)</x:f>
        <x:v>0</x:v>
      </x:c>
      <x:c r="E7" s="100" t="n">
        <x:f>SUMIF('Time Log'!$E$5:$E$500,A7,'Time Log'!$O$5:$O$500)</x:f>
        <x:v>0</x:v>
      </x:c>
      <x:c r="F7" s="100" t="n">
        <x:f>SUMIF('Time Log'!$E$5:$E$500,A7,'Time Log'!$Q$5:$Q$500)</x:f>
        <x:v>0</x:v>
      </x:c>
    </x:row>
    <x:row r="8">
      <x:c r="A8" s="66" t="inlineStr">
        <x:is>
          <x:t xml:space="preserve">WP3 - Samkeppnis- og markaðsgreining</x:t>
        </x:is>
      </x:c>
      <x:c r="B8" s="100" t="n">
        <x:v>200000</x:v>
      </x:c>
      <x:c r="C8" s="103" t="n">
        <x:f>SUMIF('Time Log'!$E$5:$E$500,A8,'Time Log'!$D$5:$D$500)</x:f>
        <x:v>0</x:v>
      </x:c>
      <x:c r="D8" s="103" t="n">
        <x:f>SUMIF('Time Log'!$E$5:$E$500,A8,'Time Log'!$M$5:$M$500)</x:f>
        <x:v>0</x:v>
      </x:c>
      <x:c r="E8" s="100" t="n">
        <x:f>SUMIF('Time Log'!$E$5:$E$500,A8,'Time Log'!$O$5:$O$500)</x:f>
        <x:v>0</x:v>
      </x:c>
      <x:c r="F8" s="100" t="n">
        <x:f>SUMIF('Time Log'!$E$5:$E$500,A8,'Time Log'!$Q$5:$Q$500)</x:f>
        <x:v>0</x:v>
      </x:c>
    </x:row>
    <x:row r="9">
      <x:c r="A9" s="66" t="inlineStr">
        <x:is>
          <x:t xml:space="preserve">WP4 - Sérfræðiaðstoð</x:t>
        </x:is>
      </x:c>
      <x:c r="B9" s="100" t="n">
        <x:v>300000</x:v>
      </x:c>
      <x:c r="C9" s="103" t="n">
        <x:f>SUMIF('Time Log'!$E$5:$E$500,A9,'Time Log'!$D$5:$D$500)</x:f>
        <x:v>0</x:v>
      </x:c>
      <x:c r="D9" s="103" t="n">
        <x:f>SUMIF('Time Log'!$E$5:$E$500,A9,'Time Log'!$M$5:$M$500)</x:f>
        <x:v>0</x:v>
      </x:c>
      <x:c r="E9" s="100" t="n">
        <x:f>SUMIF('Time Log'!$E$5:$E$500,A9,'Time Log'!$O$5:$O$500)</x:f>
        <x:v>0</x:v>
      </x:c>
      <x:c r="F9" s="100" t="n">
        <x:f>SUMIF('Time Log'!$E$5:$E$500,A9,'Time Log'!$Q$5:$Q$500)</x:f>
        <x:v>0</x:v>
      </x:c>
    </x:row>
    <x:row r="10">
      <x:c r="A10" s="66" t="inlineStr">
        <x:is>
          <x:t xml:space="preserve">WP5 - Innviðir og verkefnistengd þjónusta</x:t>
        </x:is>
      </x:c>
      <x:c r="B10" s="100" t="n">
        <x:v>250000</x:v>
      </x:c>
      <x:c r="C10" s="103" t="n">
        <x:f>SUMIF('Time Log'!$E$5:$E$500,A10,'Time Log'!$D$5:$D$500)</x:f>
        <x:v>0</x:v>
      </x:c>
      <x:c r="D10" s="103" t="n">
        <x:f>SUMIF('Time Log'!$E$5:$E$500,A10,'Time Log'!$M$5:$M$500)</x:f>
        <x:v>0</x:v>
      </x:c>
      <x:c r="E10" s="100" t="n">
        <x:f>SUMIF('Time Log'!$E$5:$E$500,A10,'Time Log'!$O$5:$O$500)</x:f>
        <x:v>0</x:v>
      </x:c>
      <x:c r="F10" s="100" t="n">
        <x:f>SUMIF('Time Log'!$E$5:$E$500,A10,'Time Log'!$Q$5:$Q$500)</x:f>
        <x:v>0</x:v>
      </x:c>
    </x:row>
    <x:row r="11">
      <x:c r="A11" s="66" t="inlineStr">
        <x:is>
          <x:t xml:space="preserve">WP6 - Varasjóður / samþykkt þróunarverkefni</x:t>
        </x:is>
      </x:c>
      <x:c r="B11" s="100" t="n">
        <x:v>200000</x:v>
      </x:c>
      <x:c r="C11" s="103" t="n">
        <x:f>SUMIF('Time Log'!$E$5:$E$500,A11,'Time Log'!$D$5:$D$500)</x:f>
        <x:v>0</x:v>
      </x:c>
      <x:c r="D11" s="103" t="n">
        <x:f>SUMIF('Time Log'!$E$5:$E$500,A11,'Time Log'!$M$5:$M$500)</x:f>
        <x:v>0</x:v>
      </x:c>
      <x:c r="E11" s="100" t="n">
        <x:f>SUMIF('Time Log'!$E$5:$E$500,A11,'Time Log'!$O$5:$O$500)</x:f>
        <x:v>0</x:v>
      </x:c>
      <x:c r="F11" s="100" t="n">
        <x:f>SUMIF('Time Log'!$E$5:$E$500,A11,'Time Log'!$Q$5:$Q$500)</x:f>
        <x:v>0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942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</x:cols>
  <x:sheetData>
    <x:row r="1" s="97" customFormat="1" ht="30" customHeight="1">
      <x:c r="A1" s="37" t="inlineStr">
        <x:is>
          <x:t xml:space="preserve">TÞS Cost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Kostnaðarsýn samræmd heitum í opinbera hjálparskjalinu sem notandi lagði fram.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TÞS kostnaðarflokkur</x:t>
        </x:is>
      </x:c>
      <x:c r="B4" s="84" t="inlineStr">
        <x:is>
          <x:t xml:space="preserve">Skráðir tímar</x:t>
        </x:is>
      </x:c>
      <x:c r="C4" s="84" t="inlineStr">
        <x:is>
          <x:t xml:space="preserve">Mannmánuðir</x:t>
        </x:is>
      </x:c>
      <x:c r="D4" s="84" t="inlineStr">
        <x:is>
          <x:t xml:space="preserve">Formlegur launakostnaður</x:t>
        </x:is>
      </x:c>
      <x:c r="E4" s="84" t="inlineStr">
        <x:is>
          <x:t xml:space="preserve">Innra reiknað virði</x:t>
        </x:is>
      </x:c>
      <x:c r="F4" s="84" t="inlineStr">
        <x:is>
          <x:t xml:space="preserve">Staðfest / greitt</x:t>
        </x:is>
      </x:c>
    </x:row>
    <x:row r="5">
      <x:c r="A5" s="66" t="inlineStr">
        <x:is>
          <x:t xml:space="preserve">Laun og launatengd gjöld</x:t>
        </x:is>
      </x:c>
      <x:c r="B5" s="103" t="n">
        <x:f>SUMIF('Time Log'!$F$5:$F$500,A5,'Time Log'!$D$5:$D$500)</x:f>
        <x:v>38.666666666699996</x:v>
      </x:c>
      <x:c r="C5" s="103" t="n">
        <x:f>SUMIF('Time Log'!$F$5:$F$500,A5,'Time Log'!$M$5:$M$500)</x:f>
        <x:v>0.22308121310044415</x:v>
      </x:c>
      <x:c r="D5" s="100" t="n">
        <x:f>SUMIF('Time Log'!$F$5:$F$500,A5,'Time Log'!$O$5:$O$500)</x:f>
        <x:v>0</x:v>
      </x:c>
      <x:c r="E5" s="100" t="n">
        <x:f>SUMIF('Time Log'!$F$5:$F$500,A5,'Time Log'!$Q$5:$Q$500)</x:f>
        <x:v>260304.0000002244</x:v>
      </x:c>
      <x:c r="F5" s="100" t="n">
        <x:f>SUMIFS('Time Log'!$O$5:$O$500,'Time Log'!$F$5:$F$500,A5,'Time Log'!$S$5:$S$500,"Já")</x:f>
        <x:v>0</x:v>
      </x:c>
    </x:row>
    <x:row r="6">
      <x:c r="A6" s="66" t="inlineStr">
        <x:is>
          <x:t xml:space="preserve">Rekstrarvörur, efni o.fl.</x:t>
        </x:is>
      </x:c>
      <x:c r="B6" s="103" t="n">
        <x:f>SUMIF('Time Log'!$F$5:$F$500,A6,'Time Log'!$D$5:$D$500)</x:f>
        <x:v>0</x:v>
      </x:c>
      <x:c r="C6" s="103" t="n">
        <x:f>SUMIF('Time Log'!$F$5:$F$500,A6,'Time Log'!$M$5:$M$500)</x:f>
        <x:v>0</x:v>
      </x:c>
      <x:c r="D6" s="100" t="n">
        <x:f>SUMIF('Time Log'!$F$5:$F$500,A6,'Time Log'!$O$5:$O$500)</x:f>
        <x:v>0</x:v>
      </x:c>
      <x:c r="E6" s="100" t="n">
        <x:f>SUMIF('Time Log'!$F$5:$F$500,A6,'Time Log'!$Q$5:$Q$500)</x:f>
        <x:v>0</x:v>
      </x:c>
      <x:c r="F6" s="100" t="n">
        <x:f>SUMIFS('Time Log'!$O$5:$O$500,'Time Log'!$F$5:$F$500,A6,'Time Log'!$S$5:$S$500,"Já")</x:f>
        <x:v>0</x:v>
      </x:c>
    </x:row>
    <x:row r="7">
      <x:c r="A7" s="66" t="inlineStr">
        <x:is>
          <x:t xml:space="preserve">Aðkeypt þjónusta</x:t>
        </x:is>
      </x:c>
      <x:c r="B7" s="103" t="n">
        <x:f>SUMIF('Time Log'!$F$5:$F$500,A7,'Time Log'!$D$5:$D$500)</x:f>
        <x:v>0</x:v>
      </x:c>
      <x:c r="C7" s="103" t="n">
        <x:f>SUMIF('Time Log'!$F$5:$F$500,A7,'Time Log'!$M$5:$M$500)</x:f>
        <x:v>0</x:v>
      </x:c>
      <x:c r="D7" s="100" t="n">
        <x:f>SUMIF('Time Log'!$F$5:$F$500,A7,'Time Log'!$O$5:$O$500)</x:f>
        <x:v>0</x:v>
      </x:c>
      <x:c r="E7" s="100" t="n">
        <x:f>SUMIF('Time Log'!$F$5:$F$500,A7,'Time Log'!$Q$5:$Q$500)</x:f>
        <x:v>0</x:v>
      </x:c>
      <x:c r="F7" s="100" t="n">
        <x:f>SUMIFS('Time Log'!$O$5:$O$500,'Time Log'!$F$5:$F$500,A7,'Time Log'!$S$5:$S$500,"Já")</x:f>
        <x:v>0</x:v>
      </x:c>
    </x:row>
    <x:row r="8">
      <x:c r="A8" s="66" t="inlineStr">
        <x:is>
          <x:t xml:space="preserve">Ferðir og fundir</x:t>
        </x:is>
      </x:c>
      <x:c r="B8" s="103" t="n">
        <x:f>SUMIF('Time Log'!$F$5:$F$500,A8,'Time Log'!$D$5:$D$500)</x:f>
        <x:v>0</x:v>
      </x:c>
      <x:c r="C8" s="103" t="n">
        <x:f>SUMIF('Time Log'!$F$5:$F$500,A8,'Time Log'!$M$5:$M$500)</x:f>
        <x:v>0</x:v>
      </x:c>
      <x:c r="D8" s="100" t="n">
        <x:f>SUMIF('Time Log'!$F$5:$F$500,A8,'Time Log'!$O$5:$O$500)</x:f>
        <x:v>0</x:v>
      </x:c>
      <x:c r="E8" s="100" t="n">
        <x:f>SUMIF('Time Log'!$F$5:$F$500,A8,'Time Log'!$Q$5:$Q$500)</x:f>
        <x:v>0</x:v>
      </x:c>
      <x:c r="F8" s="100" t="n">
        <x:f>SUMIFS('Time Log'!$O$5:$O$500,'Time Log'!$F$5:$F$500,A8,'Time Log'!$S$5:$S$500,"Já")</x:f>
        <x:v>0</x:v>
      </x:c>
    </x:row>
    <x:row r="9">
      <x:c r="A9" s="66" t="inlineStr">
        <x:is>
          <x:t xml:space="preserve">Afskriftir áhalda og tækja</x:t>
        </x:is>
      </x:c>
      <x:c r="B9" s="103" t="n">
        <x:f>SUMIF('Time Log'!$F$5:$F$500,A9,'Time Log'!$D$5:$D$500)</x:f>
        <x:v>0</x:v>
      </x:c>
      <x:c r="C9" s="103" t="n">
        <x:f>SUMIF('Time Log'!$F$5:$F$500,A9,'Time Log'!$M$5:$M$500)</x:f>
        <x:v>0</x:v>
      </x:c>
      <x:c r="D9" s="100" t="n">
        <x:f>SUMIF('Time Log'!$F$5:$F$500,A9,'Time Log'!$O$5:$O$500)</x:f>
        <x:v>0</x:v>
      </x:c>
      <x:c r="E9" s="100" t="n">
        <x:f>SUMIF('Time Log'!$F$5:$F$500,A9,'Time Log'!$Q$5:$Q$500)</x:f>
        <x:v>0</x:v>
      </x:c>
      <x:c r="F9" s="100" t="n">
        <x:f>SUMIFS('Time Log'!$O$5:$O$500,'Time Log'!$F$5:$F$500,A9,'Time Log'!$S$5:$S$500,"Já")</x:f>
        <x:v>0</x:v>
      </x:c>
    </x:row>
    <x:row r="10">
      <x:c r="A10" s="66" t="inlineStr">
        <x:is>
          <x:t xml:space="preserve">Samrekstur og aðstaða</x:t>
        </x:is>
      </x:c>
      <x:c r="B10" s="103" t="n">
        <x:f>SUMIF('Time Log'!$F$5:$F$500,A10,'Time Log'!$D$5:$D$500)</x:f>
        <x:v>0</x:v>
      </x:c>
      <x:c r="C10" s="103" t="n">
        <x:f>SUMIF('Time Log'!$F$5:$F$500,A10,'Time Log'!$M$5:$M$500)</x:f>
        <x:v>0</x:v>
      </x:c>
      <x:c r="D10" s="100" t="n">
        <x:f>SUMIF('Time Log'!$F$5:$F$500,A10,'Time Log'!$O$5:$O$500)</x:f>
        <x:v>0</x:v>
      </x:c>
      <x:c r="E10" s="100" t="n">
        <x:f>SUMIF('Time Log'!$F$5:$F$500,A10,'Time Log'!$Q$5:$Q$500)</x:f>
        <x:v>0</x:v>
      </x:c>
      <x:c r="F10" s="100" t="n">
        <x:f>SUMIFS('Time Log'!$O$5:$O$500,'Time Log'!$F$5:$F$500,A10,'Time Log'!$S$5:$S$500,"Já")</x:f>
        <x:v>0</x:v>
      </x:c>
    </x:row>
    <x:row r="13">
      <x:c r="A13" s="69" t="inlineStr">
        <x:is>
          <x:t xml:space="preserve">25% eftirlit, Samrekstur og aðstaða</x:t>
        </x:is>
      </x:c>
      <x:c r="B13" s="39" t="inlineStr">
        <x:is>
          <x:t xml:space="preserve">Athugið sérstaklega takmörk/reglu í hjálparskjali TÞS áður en kostnaður er færður.</x:t>
        </x:is>
      </x:c>
      <x:c r="C13" s="77" t="n"/>
      <x:c r="D13" s="77" t="n"/>
      <x:c r="E13" s="77" t="n"/>
      <x:c r="F13" s="78" t="n"/>
    </x:row>
  </x:sheetData>
  <x:mergeCells>
    <x:mergeCell ref="A2:F2"/>
    <x:mergeCell ref="A1:F1"/>
    <x:mergeCell ref="B13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ECAE6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  <x:col min="7" max="7" width="2" style="97" customWidth="1"/>
  </x:cols>
  <x:sheetData>
    <x:row r="1" s="97" customFormat="1" ht="30" customHeight="1">
      <x:c r="A1" s="37" t="inlineStr">
        <x:is>
          <x:t xml:space="preserve">Monthly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Mánaðaryfirlit yfir tíma, mannmánuði og bæði formlegt/innra kostnaðarvirði.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Mánuður</x:t>
        </x:is>
      </x:c>
      <x:c r="B4" s="84" t="inlineStr">
        <x:is>
          <x:t xml:space="preserve">Tímar</x:t>
        </x:is>
      </x:c>
      <x:c r="C4" s="84" t="inlineStr">
        <x:is>
          <x:t xml:space="preserve">Mannmánuðir</x:t>
        </x:is>
      </x:c>
      <x:c r="D4" s="84" t="inlineStr">
        <x:is>
          <x:t xml:space="preserve">Formlegur launakostnaður</x:t>
        </x:is>
      </x:c>
      <x:c r="E4" s="84" t="inlineStr">
        <x:is>
          <x:t xml:space="preserve">Innra virði</x:t>
        </x:is>
      </x:c>
      <x:c r="F4" s="84" t="inlineStr">
        <x:is>
          <x:t xml:space="preserve">Greitt úr styrk</x:t>
        </x:is>
      </x:c>
      <x:c r="G4" t="inlineStr">
        <x:is>
          <x:t xml:space="preserve">Month start</x:t>
        </x:is>
      </x:c>
    </x:row>
    <x:row r="5">
      <x:c r="A5" s="66" t="inlineStr">
        <x:is>
          <x:t xml:space="preserve">Júlí 2026</x:t>
        </x:is>
      </x:c>
      <x:c r="B5" s="103" t="n">
        <x:f>SUMIFS('Time Log'!$D$5:$D$500,'Time Log'!$B$5:$B$500,"&gt;="&amp;G5,'Time Log'!$B$5:$B$500,"&lt;"&amp;EDATE(G5,1))</x:f>
        <x:v>17.5</x:v>
      </x:c>
      <x:c r="C5" s="103" t="n">
        <x:f>SUMIFS('Time Log'!$M$5:$M$500,'Time Log'!$B$5:$B$500,"&gt;="&amp;G5,'Time Log'!$B$5:$B$500,"&lt;"&amp;EDATE(G5,1))</x:f>
        <x:v>0.1009634837962963</x:v>
      </x:c>
      <x:c r="D5" s="100" t="n">
        <x:f>SUMIFS('Time Log'!$O$5:$O$500,'Time Log'!$B$5:$B$500,"&gt;="&amp;G5,'Time Log'!$B$5:$B$500,"&lt;"&amp;EDATE(G5,1))</x:f>
        <x:v>0</x:v>
      </x:c>
      <x:c r="E5" s="100" t="n">
        <x:f>SUMIFS('Time Log'!$Q$5:$Q$500,'Time Log'!$B$5:$B$500,"&gt;="&amp;G5,'Time Log'!$B$5:$B$500,"&lt;"&amp;EDATE(G5,1))</x:f>
        <x:v>117810</x:v>
      </x:c>
      <x:c r="F5" s="100" t="n">
        <x:f>SUMIFS('Time Log'!$O$5:$O$500,'Time Log'!$B$5:$B$500,"&gt;="&amp;G5,'Time Log'!$B$5:$B$500,"&lt;"&amp;EDATE(G5,1),'Time Log'!$S$5:$S$500,"Já")</x:f>
        <x:v>0</x:v>
      </x:c>
      <x:c r="G5" t="n">
        <x:v>46204</x:v>
      </x:c>
    </x:row>
    <x:row r="6">
      <x:c r="A6" s="66" t="inlineStr">
        <x:is>
          <x:t xml:space="preserve">Ágúst 2026</x:t>
        </x:is>
      </x:c>
      <x:c r="B6" s="103" t="n">
        <x:f>SUMIFS('Time Log'!$D$5:$D$500,'Time Log'!$B$5:$B$500,"&gt;="&amp;G6,'Time Log'!$B$5:$B$500,"&lt;"&amp;EDATE(G6,1))</x:f>
        <x:v>21.16666667824074</x:v>
      </x:c>
      <x:c r="C6" s="103" t="n">
        <x:f>SUMIFS('Time Log'!$M$5:$M$500,'Time Log'!$B$5:$B$500,"&gt;="&amp;G6,'Time Log'!$B$5:$B$500,"&lt;"&amp;EDATE(G6,1))</x:f>
        <x:v>0.12211774305555556</x:v>
      </x:c>
      <x:c r="D6" s="100" t="n">
        <x:f>SUMIFS('Time Log'!$O$5:$O$500,'Time Log'!$B$5:$B$500,"&gt;="&amp;G6,'Time Log'!$B$5:$B$500,"&lt;"&amp;EDATE(G6,1))</x:f>
        <x:v>0</x:v>
      </x:c>
      <x:c r="E6" s="100" t="n">
        <x:f>SUMIFS('Time Log'!$Q$5:$Q$500,'Time Log'!$B$5:$B$500,"&gt;="&amp;G6,'Time Log'!$B$5:$B$500,"&lt;"&amp;EDATE(G6,1))</x:f>
        <x:v>142494.0000002199</x:v>
      </x:c>
      <x:c r="F6" s="100" t="n">
        <x:f>SUMIFS('Time Log'!$O$5:$O$500,'Time Log'!$B$5:$B$500,"&gt;="&amp;G6,'Time Log'!$B$5:$B$500,"&lt;"&amp;EDATE(G6,1),'Time Log'!$S$5:$S$500,"Já")</x:f>
        <x:v>0</x:v>
      </x:c>
      <x:c r="G6" t="n">
        <x:v>46235</x:v>
      </x:c>
    </x:row>
    <x:row r="7">
      <x:c r="A7" s="66" t="inlineStr">
        <x:is>
          <x:t xml:space="preserve">September 2026</x:t>
        </x:is>
      </x:c>
      <x:c r="B7" s="103" t="n">
        <x:f>SUMIFS('Time Log'!$D$5:$D$500,'Time Log'!$B$5:$B$500,"&gt;="&amp;G7,'Time Log'!$B$5:$B$500,"&lt;"&amp;EDATE(G7,1))</x:f>
        <x:v>0</x:v>
      </x:c>
      <x:c r="C7" s="103" t="n">
        <x:f>SUMIFS('Time Log'!$M$5:$M$500,'Time Log'!$B$5:$B$500,"&gt;="&amp;G7,'Time Log'!$B$5:$B$500,"&lt;"&amp;EDATE(G7,1))</x:f>
        <x:v>0</x:v>
      </x:c>
      <x:c r="D7" s="100" t="n">
        <x:f>SUMIFS('Time Log'!$O$5:$O$500,'Time Log'!$B$5:$B$500,"&gt;="&amp;G7,'Time Log'!$B$5:$B$500,"&lt;"&amp;EDATE(G7,1))</x:f>
        <x:v>0</x:v>
      </x:c>
      <x:c r="E7" s="100" t="n">
        <x:f>SUMIFS('Time Log'!$Q$5:$Q$500,'Time Log'!$B$5:$B$500,"&gt;="&amp;G7,'Time Log'!$B$5:$B$500,"&lt;"&amp;EDATE(G7,1))</x:f>
        <x:v>0</x:v>
      </x:c>
      <x:c r="F7" s="100" t="n">
        <x:f>SUMIFS('Time Log'!$O$5:$O$500,'Time Log'!$B$5:$B$500,"&gt;="&amp;G7,'Time Log'!$B$5:$B$500,"&lt;"&amp;EDATE(G7,1),'Time Log'!$S$5:$S$500,"Já")</x:f>
        <x:v>0</x:v>
      </x:c>
      <x:c r="G7" t="n">
        <x:v>46266</x:v>
      </x:c>
    </x:row>
    <x:row r="8">
      <x:c r="A8" s="66" t="inlineStr">
        <x:is>
          <x:t xml:space="preserve">Október 2026</x:t>
        </x:is>
      </x:c>
      <x:c r="B8" s="103" t="n">
        <x:f>SUMIFS('Time Log'!$D$5:$D$500,'Time Log'!$B$5:$B$500,"&gt;="&amp;G8,'Time Log'!$B$5:$B$500,"&lt;"&amp;EDATE(G8,1))</x:f>
        <x:v>0</x:v>
      </x:c>
      <x:c r="C8" s="103" t="n">
        <x:f>SUMIFS('Time Log'!$M$5:$M$500,'Time Log'!$B$5:$B$500,"&gt;="&amp;G8,'Time Log'!$B$5:$B$500,"&lt;"&amp;EDATE(G8,1))</x:f>
        <x:v>0</x:v>
      </x:c>
      <x:c r="D8" s="100" t="n">
        <x:f>SUMIFS('Time Log'!$O$5:$O$500,'Time Log'!$B$5:$B$500,"&gt;="&amp;G8,'Time Log'!$B$5:$B$500,"&lt;"&amp;EDATE(G8,1))</x:f>
        <x:v>0</x:v>
      </x:c>
      <x:c r="E8" s="100" t="n">
        <x:f>SUMIFS('Time Log'!$Q$5:$Q$500,'Time Log'!$B$5:$B$500,"&gt;="&amp;G8,'Time Log'!$B$5:$B$500,"&lt;"&amp;EDATE(G8,1))</x:f>
        <x:v>0</x:v>
      </x:c>
      <x:c r="F8" s="100" t="n">
        <x:f>SUMIFS('Time Log'!$O$5:$O$500,'Time Log'!$B$5:$B$500,"&gt;="&amp;G8,'Time Log'!$B$5:$B$500,"&lt;"&amp;EDATE(G8,1),'Time Log'!$S$5:$S$500,"Já")</x:f>
        <x:v>0</x:v>
      </x:c>
      <x:c r="G8" t="n">
        <x:v>46296</x:v>
      </x:c>
    </x:row>
    <x:row r="9">
      <x:c r="A9" s="66" t="inlineStr">
        <x:is>
          <x:t xml:space="preserve">Nóvember 2026</x:t>
        </x:is>
      </x:c>
      <x:c r="B9" s="103" t="n">
        <x:f>SUMIFS('Time Log'!$D$5:$D$500,'Time Log'!$B$5:$B$500,"&gt;="&amp;G9,'Time Log'!$B$5:$B$500,"&lt;"&amp;EDATE(G9,1))</x:f>
        <x:v>0</x:v>
      </x:c>
      <x:c r="C9" s="103" t="n">
        <x:f>SUMIFS('Time Log'!$M$5:$M$500,'Time Log'!$B$5:$B$500,"&gt;="&amp;G9,'Time Log'!$B$5:$B$500,"&lt;"&amp;EDATE(G9,1))</x:f>
        <x:v>0</x:v>
      </x:c>
      <x:c r="D9" s="100" t="n">
        <x:f>SUMIFS('Time Log'!$O$5:$O$500,'Time Log'!$B$5:$B$500,"&gt;="&amp;G9,'Time Log'!$B$5:$B$500,"&lt;"&amp;EDATE(G9,1))</x:f>
        <x:v>0</x:v>
      </x:c>
      <x:c r="E9" s="100" t="n">
        <x:f>SUMIFS('Time Log'!$Q$5:$Q$500,'Time Log'!$B$5:$B$500,"&gt;="&amp;G9,'Time Log'!$B$5:$B$500,"&lt;"&amp;EDATE(G9,1))</x:f>
        <x:v>0</x:v>
      </x:c>
      <x:c r="F9" s="100" t="n">
        <x:f>SUMIFS('Time Log'!$O$5:$O$500,'Time Log'!$B$5:$B$500,"&gt;="&amp;G9,'Time Log'!$B$5:$B$500,"&lt;"&amp;EDATE(G9,1),'Time Log'!$S$5:$S$500,"Já")</x:f>
        <x:v>0</x:v>
      </x:c>
      <x:c r="G9" t="n">
        <x:v>46327</x:v>
      </x:c>
    </x:row>
    <x:row r="10">
      <x:c r="A10" s="66" t="inlineStr">
        <x:is>
          <x:t xml:space="preserve">Desember 2026</x:t>
        </x:is>
      </x:c>
      <x:c r="B10" s="103" t="n">
        <x:f>SUMIFS('Time Log'!$D$5:$D$500,'Time Log'!$B$5:$B$500,"&gt;="&amp;G10,'Time Log'!$B$5:$B$500,"&lt;"&amp;EDATE(G10,1))</x:f>
        <x:v>0</x:v>
      </x:c>
      <x:c r="C10" s="103" t="n">
        <x:f>SUMIFS('Time Log'!$M$5:$M$500,'Time Log'!$B$5:$B$500,"&gt;="&amp;G10,'Time Log'!$B$5:$B$500,"&lt;"&amp;EDATE(G10,1))</x:f>
        <x:v>0</x:v>
      </x:c>
      <x:c r="D10" s="100" t="n">
        <x:f>SUMIFS('Time Log'!$O$5:$O$500,'Time Log'!$B$5:$B$500,"&gt;="&amp;G10,'Time Log'!$B$5:$B$500,"&lt;"&amp;EDATE(G10,1))</x:f>
        <x:v>0</x:v>
      </x:c>
      <x:c r="E10" s="100" t="n">
        <x:f>SUMIFS('Time Log'!$Q$5:$Q$500,'Time Log'!$B$5:$B$500,"&gt;="&amp;G10,'Time Log'!$B$5:$B$500,"&lt;"&amp;EDATE(G10,1))</x:f>
        <x:v>0</x:v>
      </x:c>
      <x:c r="F10" s="100" t="n">
        <x:f>SUMIFS('Time Log'!$O$5:$O$500,'Time Log'!$B$5:$B$500,"&gt;="&amp;G10,'Time Log'!$B$5:$B$500,"&lt;"&amp;EDATE(G10,1),'Time Log'!$S$5:$S$500,"Já")</x:f>
        <x:v>0</x:v>
      </x:c>
      <x:c r="G10" t="n">
        <x:v>46357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baseColWidth="8" defaultRowHeight="14.5"/>
  <x:cols>
    <x:col min="1" max="1" width="32" style="97" customWidth="1"/>
    <x:col min="2" max="2" width="70" style="97" customWidth="1"/>
    <x:col min="3" max="3" width="48" style="97" customWidth="1"/>
  </x:cols>
  <x:sheetData>
    <x:row r="1" s="97" customFormat="1" ht="30" customHeight="1">
      <x:c r="A1" s="37" t="inlineStr">
        <x:is>
          <x:t xml:space="preserve">Instructions</x:t>
        </x:is>
      </x:c>
      <x:c r="B1" s="21" t="n"/>
      <x:c r="C1" s="21" t="n"/>
    </x:row>
    <x:row r="2" s="97" customFormat="1" ht="38" customHeight="1">
      <x:c r="A2" s="38" t="inlineStr">
        <x:is>
          <x:t xml:space="preserve">V2 heldur WP-stýringu og formlegri TÞS kostnaðarflokkun aðskildri en tengdri.</x:t>
        </x:is>
      </x:c>
      <x:c r="B2" s="21" t="n"/>
      <x:c r="C2" s="21" t="n"/>
    </x:row>
    <x:row r="4" s="97" customFormat="1" ht="38" customHeight="1">
      <x:c r="A4" s="55" t="inlineStr">
        <x:is>
          <x:t xml:space="preserve">Atriði</x:t>
        </x:is>
      </x:c>
      <x:c r="B4" s="55" t="inlineStr">
        <x:is>
          <x:t xml:space="preserve">Regla</x:t>
        </x:is>
      </x:c>
      <x:c r="C4" s="55" t="inlineStr">
        <x:is>
          <x:t xml:space="preserve">Dæmi</x:t>
        </x:is>
      </x:c>
    </x:row>
    <x:row r="5">
      <x:c r="A5" s="56" t="inlineStr">
        <x:is>
          <x:t xml:space="preserve">WP / verkefnaflokkur</x:t>
        </x:is>
      </x:c>
      <x:c r="B5" s="56" t="inlineStr">
        <x:is>
          <x:t xml:space="preserve">Segir hvaða markmiði eða vinnupakka vinnan þjónar.</x:t>
        </x:is>
      </x:c>
      <x:c r="C5" s="56" t="inlineStr">
        <x:is>
          <x:t xml:space="preserve">WP1 - Reiknilíkan og tæknileg sannprófun</x:t>
        </x:is>
      </x:c>
    </x:row>
    <x:row r="6">
      <x:c r="A6" s="61" t="inlineStr">
        <x:is>
          <x:t xml:space="preserve">TÞS kostnaðarflokkur</x:t>
        </x:is>
      </x:c>
      <x:c r="B6" s="61" t="inlineStr">
        <x:is>
          <x:t xml:space="preserve">Notar heiti kostnaðarflokka úr hjálparskjali sjóðsins.</x:t>
        </x:is>
      </x:c>
      <x:c r="C6" s="61" t="inlineStr">
        <x:is>
          <x:t xml:space="preserve">Laun og launatengd gjöld</x:t>
        </x:is>
      </x:c>
    </x:row>
    <x:row r="7">
      <x:c r="A7" s="56" t="inlineStr">
        <x:is>
          <x:t xml:space="preserve">Tímar</x:t>
        </x:is>
      </x:c>
      <x:c r="B7" s="56" t="inlineStr">
        <x:is>
          <x:t xml:space="preserve">Skrá raunverulega unna tíma samdægurs.</x:t>
        </x:is>
      </x:c>
      <x:c r="C7" s="56" t="inlineStr">
        <x:is>
          <x:t xml:space="preserve">4,0</x:t>
        </x:is>
      </x:c>
    </x:row>
    <x:row r="8" s="97" customFormat="1" ht="29" customHeight="1">
      <x:c r="A8" s="61" t="inlineStr">
        <x:is>
          <x:t xml:space="preserve">Viðmið klst. í mannmánuði</x:t>
        </x:is>
      </x:c>
      <x:c r="B8" s="61" t="inlineStr">
        <x:is>
          <x:t xml:space="preserve">Innra umbreytingarviðmið. 173,33 er sett í fyrstu færslu en skal staðfesta fyrir formlega notkun.</x:t>
        </x:is>
      </x:c>
      <x:c r="C8" s="61" t="inlineStr">
        <x:is>
          <x:t xml:space="preserve">4 / 173,33 = 0,0231 mannmánuður</x:t>
        </x:is>
      </x:c>
    </x:row>
    <x:row r="9" s="97" customFormat="1" ht="29" customHeight="1">
      <x:c r="A9" s="56" t="inlineStr">
        <x:is>
          <x:t xml:space="preserve">Mánaðarleg laun og launatengd gjöld</x:t>
        </x:is>
      </x:c>
      <x:c r="B9" s="56" t="inlineStr">
        <x:is>
          <x:t xml:space="preserve">Ekki sama og einföld föst mánaðarlaun. Færa þegar viðeigandi launakostnaðargrunnur hefur verið ákveðinn.</x:t>
        </x:is>
      </x:c>
      <x:c r="C9" s="56" t="inlineStr">
        <x:is>
          <x:t xml:space="preserve">Skilið autt í fyrstu færslu</x:t>
        </x:is>
      </x:c>
    </x:row>
    <x:row r="10">
      <x:c r="A10" s="61" t="inlineStr">
        <x:is>
          <x:t xml:space="preserve">Formlegur launakostnaður</x:t>
        </x:is>
      </x:c>
      <x:c r="B10" s="61" t="inlineStr">
        <x:is>
          <x:t xml:space="preserve">Reiknast sem mannmánuðir × mánaðarleg laun og launatengd gjöld.</x:t>
        </x:is>
      </x:c>
      <x:c r="C10" s="61" t="inlineStr">
        <x:is>
          <x:t xml:space="preserve">Sjálfvirk formúla</x:t>
        </x:is>
      </x:c>
    </x:row>
    <x:row r="11" s="97" customFormat="1" ht="29" customHeight="1">
      <x:c r="A11" s="56" t="inlineStr">
        <x:is>
          <x:t xml:space="preserve">Innra tímagjald</x:t>
        </x:is>
      </x:c>
      <x:c r="B11" s="56" t="inlineStr">
        <x:is>
          <x:t xml:space="preserve">Má nota sem innra stjórnunarviðmið án þess að kalla það sjálfkrafa styrkhæfan kostnað.</x:t>
        </x:is>
      </x:c>
      <x:c r="C11" s="56" t="inlineStr">
        <x:is>
          <x:t xml:space="preserve">6.732 kr./klst.</x:t>
        </x:is>
      </x:c>
    </x:row>
    <x:row r="12">
      <x:c r="A12" s="61" t="inlineStr">
        <x:is>
          <x:t xml:space="preserve">Evidence</x:t>
        </x:is>
      </x:c>
      <x:c r="B12" s="61" t="inlineStr">
        <x:is>
          <x:t xml:space="preserve">Tengja vinnu við skjal, dataset, commit, skjáskot eða aðra afhendingu.</x:t>
        </x:is>
      </x:c>
      <x:c r="C12" s="61" t="inlineStr">
        <x:is>
          <x:t xml:space="preserve">01_Model_Validation/...</x:t>
        </x:is>
      </x:c>
    </x:row>
    <x:row r="13">
      <x:c r="A13" s="56" t="inlineStr">
        <x:is>
          <x:t xml:space="preserve">Útgreiðsla</x:t>
        </x:is>
      </x:c>
      <x:c r="B13" s="56" t="inlineStr">
        <x:is>
          <x:t xml:space="preserve">Merkja Já aðeins eftir raunverulega og skjalfesta bókun/greiðslu.</x:t>
        </x:is>
      </x:c>
      <x:c r="C13" s="56" t="inlineStr">
        <x:is>
          <x:t xml:space="preserve">Nei þar til staðfest</x:t>
        </x:is>
      </x:c>
    </x:row>
    <x:row r="14">
      <x:c r="A14" s="61" t="inlineStr">
        <x:is>
          <x:t xml:space="preserve">Tvöfalt bókhald</x:t>
        </x:is>
      </x:c>
      <x:c r="B14" s="61" t="inlineStr">
        <x:is>
          <x:t xml:space="preserve">Ekki tvítelja sama kostnað sem bæði laun og aðkeypta þjónustu.</x:t>
        </x:is>
      </x:c>
      <x:c r="C14" s="61" t="inlineStr">
        <x:is>
          <x:t xml:space="preserve">Ein kostnaðarfærsla, einn formlegur flokkur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WP0 - Verkefnastjórnun og uppsetning</x:t>
        </x:is>
      </x:c>
      <x:c r="B1" t="inlineStr">
        <x:is>
          <x:t xml:space="preserve">Laun og launatengd gjöld</x:t>
        </x:is>
      </x:c>
      <x:c r="C1" t="inlineStr">
        <x:is>
          <x:t xml:space="preserve">Project setup &amp; planning</x:t>
        </x:is>
      </x:c>
      <x:c r="D1" t="inlineStr">
        <x:is>
          <x:t xml:space="preserve">Skráð</x:t>
        </x:is>
      </x:c>
      <x:c r="E1" t="inlineStr">
        <x:is>
          <x:t xml:space="preserve">Engin</x:t>
        </x:is>
      </x:c>
    </x:row>
    <x:row r="2">
      <x:c r="A2" t="inlineStr">
        <x:is>
          <x:t xml:space="preserve">WP1 - Reiknilíkan og tæknileg sannprófun</x:t>
        </x:is>
      </x:c>
      <x:c r="B2" t="inlineStr">
        <x:is>
          <x:t xml:space="preserve">Rekstrarvörur, efni o.fl.</x:t>
        </x:is>
      </x:c>
      <x:c r="C2" t="inlineStr">
        <x:is>
          <x:t xml:space="preserve">Model baseline audit</x:t>
        </x:is>
      </x:c>
      <x:c r="D2" t="inlineStr">
        <x:is>
          <x:t xml:space="preserve">Til staðfestingar</x:t>
        </x:is>
      </x:c>
      <x:c r="E2" t="inlineStr">
        <x:is>
          <x:t xml:space="preserve">Skjáskot</x:t>
        </x:is>
      </x:c>
    </x:row>
    <x:row r="3">
      <x:c r="A3" t="inlineStr">
        <x:is>
          <x:t xml:space="preserve">WP2 - Notendaprófanir og rannsóknir</x:t>
        </x:is>
      </x:c>
      <x:c r="B3" t="inlineStr">
        <x:is>
          <x:t xml:space="preserve">Aðkeypt þjónusta</x:t>
        </x:is>
      </x:c>
      <x:c r="C3" t="inlineStr">
        <x:is>
          <x:t xml:space="preserve">Scoring validation</x:t>
        </x:is>
      </x:c>
      <x:c r="D3" t="inlineStr">
        <x:is>
          <x:t xml:space="preserve">Staðfest kostnaðarhæft</x:t>
        </x:is>
      </x:c>
      <x:c r="E3" t="inlineStr">
        <x:is>
          <x:t xml:space="preserve">Skjal</x:t>
        </x:is>
      </x:c>
    </x:row>
    <x:row r="4">
      <x:c r="A4" t="inlineStr">
        <x:is>
          <x:t xml:space="preserve">WP3 - Samkeppnis- og markaðsgreining</x:t>
        </x:is>
      </x:c>
      <x:c r="B4" t="inlineStr">
        <x:is>
          <x:t xml:space="preserve">Ferðir og fundir</x:t>
        </x:is>
      </x:c>
      <x:c r="C4" t="inlineStr">
        <x:is>
          <x:t xml:space="preserve">Forecast comparison</x:t>
        </x:is>
      </x:c>
      <x:c r="D4" t="inlineStr">
        <x:is>
          <x:t xml:space="preserve">Ekki kostnaðarhæft</x:t>
        </x:is>
      </x:c>
      <x:c r="E4" t="inlineStr">
        <x:is>
          <x:t xml:space="preserve">Commit / Git tag</x:t>
        </x:is>
      </x:c>
    </x:row>
    <x:row r="5">
      <x:c r="A5" t="inlineStr">
        <x:is>
          <x:t xml:space="preserve">WP4 - Sérfræðiaðstoð</x:t>
        </x:is>
      </x:c>
      <x:c r="B5" t="inlineStr">
        <x:is>
          <x:t xml:space="preserve">Afskriftir áhalda og tækja</x:t>
        </x:is>
      </x:c>
      <x:c r="C5" t="inlineStr">
        <x:is>
          <x:t xml:space="preserve">Field study</x:t>
        </x:is>
      </x:c>
      <x:c r="D5" t="inlineStr">
        <x:is>
          <x:t xml:space="preserve">Greitt / bókað</x:t>
        </x:is>
      </x:c>
      <x:c r="E5" t="inlineStr">
        <x:is>
          <x:t xml:space="preserve">Reikningur</x:t>
        </x:is>
      </x:c>
    </x:row>
    <x:row r="6">
      <x:c r="A6" t="inlineStr">
        <x:is>
          <x:t xml:space="preserve">WP5 - Innviðir og verkefnistengd þjónusta</x:t>
        </x:is>
      </x:c>
      <x:c r="B6" t="inlineStr">
        <x:is>
          <x:t xml:space="preserve">Samrekstur og aðstaða</x:t>
        </x:is>
      </x:c>
      <x:c r="C6" t="inlineStr">
        <x:is>
          <x:t xml:space="preserve">Edge-case analysis</x:t>
        </x:is>
      </x:c>
      <x:c r="E6" t="inlineStr">
        <x:is>
          <x:t xml:space="preserve">Fundargerð</x:t>
        </x:is>
      </x:c>
    </x:row>
    <x:row r="7">
      <x:c r="A7" t="inlineStr">
        <x:is>
          <x:t xml:space="preserve">WP6 - Varasjóður / samþykkt þróunarverkefni</x:t>
        </x:is>
      </x:c>
      <x:c r="C7" t="inlineStr">
        <x:is>
          <x:t xml:space="preserve">Dataset preparation</x:t>
        </x:is>
      </x:c>
      <x:c r="E7" t="inlineStr">
        <x:is>
          <x:t xml:space="preserve">Excel / dataset</x:t>
        </x:is>
      </x:c>
    </x:row>
    <x:row r="8">
      <x:c r="C8" t="inlineStr">
        <x:is>
          <x:t xml:space="preserve">User interviews</x:t>
        </x:is>
      </x:c>
      <x:c r="E8" t="inlineStr">
        <x:is>
          <x:t xml:space="preserve">Annað</x:t>
        </x:is>
      </x:c>
    </x:row>
    <x:row r="9">
      <x:c r="C9" t="inlineStr">
        <x:is>
          <x:t xml:space="preserve">Usability testing</x:t>
        </x:is>
      </x:c>
    </x:row>
    <x:row r="10">
      <x:c r="C10" t="inlineStr">
        <x:is>
          <x:t xml:space="preserve">Behavior analysis</x:t>
        </x:is>
      </x:c>
    </x:row>
    <x:row r="11">
      <x:c r="C11" t="inlineStr">
        <x:is>
          <x:t xml:space="preserve">Competition mapping</x:t>
        </x:is>
      </x:c>
    </x:row>
    <x:row r="12">
      <x:c r="C12" t="inlineStr">
        <x:is>
          <x:t xml:space="preserve">Market research</x:t>
        </x:is>
      </x:c>
    </x:row>
    <x:row r="13">
      <x:c r="C13" t="inlineStr">
        <x:is>
          <x:t xml:space="preserve">Expert coordination</x:t>
        </x:is>
      </x:c>
    </x:row>
    <x:row r="14">
      <x:c r="C14" t="inlineStr">
        <x:is>
          <x:t xml:space="preserve">Technical development</x:t>
        </x:is>
      </x:c>
    </x:row>
    <x:row r="15">
      <x:c r="C15" t="inlineStr">
        <x:is>
          <x:t xml:space="preserve">Infrastructure / operations</x:t>
        </x:is>
      </x:c>
    </x:row>
    <x:row r="16">
      <x:c r="C16" t="inlineStr">
        <x:is>
          <x:t xml:space="preserve">Reporting</x:t>
        </x:is>
      </x:c>
    </x:row>
    <x:row r="17">
      <x:c r="C17" t="inlineStr">
        <x:is>
          <x:t xml:space="preserve">Finance / documentation</x:t>
        </x:is>
      </x:c>
    </x:row>
    <x:row r="18">
      <x:c r="C18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style="97" customWidth="1"/>
    <x:col min="2" max="2" width="18" style="97" customWidth="1"/>
    <x:col min="3" max="3" width="18" style="97" customWidth="1"/>
    <x:col min="4" max="4" width="18" style="97" customWidth="1"/>
    <x:col min="5" max="5" width="18" style="97" customWidth="1"/>
    <x:col min="6" max="6" width="18" style="97" customWidth="1"/>
    <x:col min="7" max="7" width="18" style="97" customWidth="1"/>
    <x:col min="8" max="8" width="18" style="97" customWidth="1"/>
  </x:cols>
  <x:sheetData>
    <x:row r="1" s="97" customFormat="1" ht="34" customHeight="1">
      <x:c r="A1" s="104" t="inlineStr">
        <x:is>
          <x:t xml:space="preserve">Fræ verkefni, tímaskráningar og stöðuyfirlit</x:t>
        </x:is>
      </x:c>
      <x:c r="B1" s="21" t="n"/>
      <x:c r="C1" s="21" t="n"/>
      <x:c r="D1" s="21" t="n"/>
      <x:c r="E1" s="21" t="n"/>
      <x:c r="F1" s="21" t="n"/>
      <x:c r="G1" s="21" t="n"/>
      <x:c r="H1" s="21" t="n"/>
    </x:row>
    <x:row r="2">
      <x:c r="A2" s="105" t="inlineStr">
        <x:is>
          <x:t xml:space="preserve">Sjálfvirkt yfirlit sem byggir á Time Log. Aðeins þarf að bæta nýrri línu við skráningarblaðið.</x:t>
        </x:is>
      </x:c>
      <x:c r="B2" s="21" t="n"/>
      <x:c r="C2" s="21" t="n"/>
      <x:c r="D2" s="21" t="n"/>
      <x:c r="E2" s="21" t="n"/>
      <x:c r="F2" s="21" t="n"/>
      <x:c r="G2" s="21" t="n"/>
      <x:c r="H2" s="21" t="n"/>
    </x:row>
    <x:row r="4">
      <x:c r="A4" s="96" t="inlineStr">
        <x:is>
          <x:t xml:space="preserve">Mælikvarði</x:t>
        </x:is>
      </x:c>
      <x:c r="B4" s="96" t="inlineStr">
        <x:is>
          <x:t xml:space="preserve">Staða</x:t>
        </x:is>
      </x:c>
      <x:c r="D4" s="96" t="inlineStr">
        <x:is>
          <x:t xml:space="preserve">Gæðavísar</x:t>
        </x:is>
      </x:c>
      <x:c r="E4" s="96" t="inlineStr">
        <x:is>
          <x:t xml:space="preserve">Staða</x:t>
        </x:is>
      </x:c>
    </x:row>
    <x:row r="5">
      <x:c r="A5" t="inlineStr">
        <x:is>
          <x:t xml:space="preserve">Skráðir tímar</x:t>
        </x:is>
      </x:c>
      <x:c r="B5" s="106" t="n">
        <x:f>SUM('Time Log'!$D$5:$D$500)</x:f>
        <x:v>38.666666666699996</x:v>
      </x:c>
      <x:c r="D5" t="inlineStr">
        <x:is>
          <x:t xml:space="preserve">Færslur alls</x:t>
        </x:is>
      </x:c>
      <x:c r="E5" t="n">
        <x:f>COUNTIF('Time Log'!$B$5:$B$500,"&lt;&gt;")</x:f>
        <x:v>13</x:v>
      </x:c>
    </x:row>
    <x:row r="6">
      <x:c r="A6" t="inlineStr">
        <x:is>
          <x:t xml:space="preserve">Mannmánuðir</x:t>
        </x:is>
      </x:c>
      <x:c r="B6" s="106" t="n">
        <x:f>SUM('Time Log'!$M$5:$M$500)</x:f>
        <x:v>0.22308121310044415</x:v>
      </x:c>
      <x:c r="D6" t="inlineStr">
        <x:is>
          <x:t xml:space="preserve">Færslur án evidence</x:t>
        </x:is>
      </x:c>
      <x:c r="E6" t="n">
        <x:f>COUNTIFS('Time Log'!$B$5:$B$500,"&lt;&gt;",'Time Log'!$J$5:$J$500,"")</x:f>
        <x:v>0</x:v>
      </x:c>
    </x:row>
    <x:row r="7">
      <x:c r="A7" t="inlineStr">
        <x:is>
          <x:t xml:space="preserve">Formlegur launakostnaður</x:t>
        </x:is>
      </x:c>
      <x:c r="B7" s="99" t="n">
        <x:f>SUM('Time Log'!$O$5:$O$500)</x:f>
        <x:v>0</x:v>
      </x:c>
      <x:c r="D7" t="inlineStr">
        <x:is>
          <x:t xml:space="preserve">Óstaðfestar færslur</x:t>
        </x:is>
      </x:c>
      <x:c r="E7" t="n">
        <x:f>COUNTIF('Time Log'!$R$5:$R$500,"Til staðfestingar")</x:f>
        <x:v>13</x:v>
      </x:c>
    </x:row>
    <x:row r="8">
      <x:c r="A8" t="inlineStr">
        <x:is>
          <x:t xml:space="preserve">Innra reiknað virði</x:t>
        </x:is>
      </x:c>
      <x:c r="B8" s="99" t="n">
        <x:f>SUM('Time Log'!$Q$5:$Q$500)</x:f>
        <x:v>260304.0000002244</x:v>
      </x:c>
      <x:c r="D8" t="inlineStr">
        <x:is>
          <x:t xml:space="preserve">Greitt úr styrk</x:t>
        </x:is>
      </x:c>
      <x:c r="E8" t="n">
        <x:f>COUNTIF('Time Log'!$S$5:$S$500,"Já")</x:f>
        <x:v>0</x:v>
      </x:c>
    </x:row>
    <x:row r="11">
      <x:c r="A11" s="107" t="inlineStr">
        <x:is>
          <x:t xml:space="preserve">Yfirlit eftir vinnupökkum</x:t>
        </x:is>
      </x:c>
      <x:c r="B11" s="21" t="n"/>
      <x:c r="C11" s="21" t="n"/>
      <x:c r="D11" s="21" t="n"/>
      <x:c r="E11" s="21" t="n"/>
      <x:c r="F11" s="21" t="n"/>
      <x:c r="G11" s="21" t="n"/>
      <x:c r="H11" s="21" t="n"/>
    </x:row>
    <x:row r="12">
      <x:c r="A12" s="96" t="inlineStr">
        <x:is>
          <x:t xml:space="preserve">Vinnupakki</x:t>
        </x:is>
      </x:c>
      <x:c r="B12" s="96" t="inlineStr">
        <x:is>
          <x:t xml:space="preserve">Áætlun</x:t>
        </x:is>
      </x:c>
      <x:c r="C12" s="96" t="inlineStr">
        <x:is>
          <x:t xml:space="preserve">Tímar</x:t>
        </x:is>
      </x:c>
      <x:c r="D12" s="96" t="inlineStr">
        <x:is>
          <x:t xml:space="preserve">Innra virði</x:t>
        </x:is>
      </x:c>
      <x:c r="F12" s="96" t="inlineStr">
        <x:is>
          <x:t xml:space="preserve">Mánuður</x:t>
        </x:is>
      </x:c>
      <x:c r="G12" s="96" t="inlineStr">
        <x:is>
          <x:t xml:space="preserve">Tímar</x:t>
        </x:is>
      </x:c>
      <x:c r="H12" s="96" t="inlineStr">
        <x:is>
          <x:t xml:space="preserve">Innra virði</x:t>
        </x:is>
      </x:c>
    </x:row>
    <x:row r="13">
      <x:c r="A13" t="str">
        <x:f>'WP Summary'!A5</x:f>
        <x:v>WP0 - Verkefnastjórnun og uppsetning</x:v>
      </x:c>
      <x:c r="B13" s="99" t="n">
        <x:f>'WP Summary'!B5</x:f>
        <x:v>0</x:v>
      </x:c>
      <x:c r="C13" s="106" t="n">
        <x:f>'WP Summary'!C5</x:f>
        <x:v>9</x:v>
      </x:c>
      <x:c r="D13" s="99" t="n">
        <x:f>'WP Summary'!F5</x:f>
        <x:v>60588</x:v>
      </x:c>
      <x:c r="F13" t="str">
        <x:f>'Monthly Summary'!A5</x:f>
        <x:v>Júlí 2026</x:v>
      </x:c>
      <x:c r="G13" s="106" t="n">
        <x:f>'Monthly Summary'!B5</x:f>
        <x:v>17.5</x:v>
      </x:c>
      <x:c r="H13" s="99" t="n">
        <x:f>'Monthly Summary'!E5</x:f>
        <x:v>117810</x:v>
      </x:c>
    </x:row>
    <x:row r="14">
      <x:c r="A14" t="str">
        <x:f>'WP Summary'!A6</x:f>
        <x:v>WP1 - Reiknilíkan og tæknileg sannprófun</x:v>
      </x:c>
      <x:c r="B14" s="99" t="n">
        <x:f>'WP Summary'!B6</x:f>
        <x:v>700000</x:v>
      </x:c>
      <x:c r="C14" s="106" t="n">
        <x:f>'WP Summary'!C6</x:f>
        <x:v>26.1666666667</x:v>
      </x:c>
      <x:c r="D14" s="99" t="n">
        <x:f>'WP Summary'!F6</x:f>
        <x:v>176154.0000002244</x:v>
      </x:c>
      <x:c r="F14" t="str">
        <x:f>'Monthly Summary'!A6</x:f>
        <x:v>Ágúst 2026</x:v>
      </x:c>
      <x:c r="G14" s="106" t="n">
        <x:f>'Monthly Summary'!B6</x:f>
        <x:v>21.1666666667</x:v>
      </x:c>
      <x:c r="H14" s="99" t="n">
        <x:f>'Monthly Summary'!E6</x:f>
        <x:v>142494.0000002244</x:v>
      </x:c>
    </x:row>
    <x:row r="15">
      <x:c r="A15" t="str">
        <x:f>'WP Summary'!A7</x:f>
        <x:v>WP2 - Notendaprófanir og rannsóknir</x:v>
      </x:c>
      <x:c r="B15" s="99" t="n">
        <x:f>'WP Summary'!B7</x:f>
        <x:v>350000</x:v>
      </x:c>
      <x:c r="C15" s="106" t="n">
        <x:f>'WP Summary'!C7</x:f>
        <x:v>0</x:v>
      </x:c>
      <x:c r="D15" s="99" t="n">
        <x:f>'WP Summary'!F7</x:f>
        <x:v>0</x:v>
      </x:c>
      <x:c r="F15" t="str">
        <x:f>'Monthly Summary'!A7</x:f>
        <x:v>September 2026</x:v>
      </x:c>
      <x:c r="G15" s="106" t="n">
        <x:f>'Monthly Summary'!B7</x:f>
        <x:v>0</x:v>
      </x:c>
      <x:c r="H15" s="99" t="n">
        <x:f>'Monthly Summary'!E7</x:f>
        <x:v>0</x:v>
      </x:c>
    </x:row>
    <x:row r="16">
      <x:c r="A16" t="str">
        <x:f>'WP Summary'!A8</x:f>
        <x:v>WP3 - Samkeppnis- og markaðsgreining</x:v>
      </x:c>
      <x:c r="B16" s="99" t="n">
        <x:f>'WP Summary'!B8</x:f>
        <x:v>200000</x:v>
      </x:c>
      <x:c r="C16" s="106" t="n">
        <x:f>'WP Summary'!C8</x:f>
        <x:v>0</x:v>
      </x:c>
      <x:c r="D16" s="99" t="n">
        <x:f>'WP Summary'!F8</x:f>
        <x:v>0</x:v>
      </x:c>
      <x:c r="F16" t="str">
        <x:f>'Monthly Summary'!A8</x:f>
        <x:v>Október 2026</x:v>
      </x:c>
      <x:c r="G16" s="106" t="n">
        <x:f>'Monthly Summary'!B8</x:f>
        <x:v>0</x:v>
      </x:c>
      <x:c r="H16" s="99" t="n">
        <x:f>'Monthly Summary'!E8</x:f>
        <x:v>0</x:v>
      </x:c>
    </x:row>
    <x:row r="17">
      <x:c r="A17" t="str">
        <x:f>'WP Summary'!A9</x:f>
        <x:v>WP4 - Sérfræðiaðstoð</x:v>
      </x:c>
      <x:c r="B17" s="99" t="n">
        <x:f>'WP Summary'!B9</x:f>
        <x:v>300000</x:v>
      </x:c>
      <x:c r="C17" s="106" t="n">
        <x:f>'WP Summary'!C9</x:f>
        <x:v>0</x:v>
      </x:c>
      <x:c r="D17" s="99" t="n">
        <x:f>'WP Summary'!F9</x:f>
        <x:v>0</x:v>
      </x:c>
      <x:c r="F17" t="str">
        <x:f>'Monthly Summary'!A9</x:f>
        <x:v>Nóvember 2026</x:v>
      </x:c>
      <x:c r="G17" s="106" t="n">
        <x:f>'Monthly Summary'!B9</x:f>
        <x:v>0</x:v>
      </x:c>
      <x:c r="H17" s="99" t="n">
        <x:f>'Monthly Summary'!E9</x:f>
        <x:v>0</x:v>
      </x:c>
    </x:row>
    <x:row r="18">
      <x:c r="A18" t="str">
        <x:f>'WP Summary'!A10</x:f>
        <x:v>WP5 - Innviðir og verkefnistengd þjónusta</x:v>
      </x:c>
      <x:c r="B18" s="99" t="n">
        <x:f>'WP Summary'!B10</x:f>
        <x:v>250000</x:v>
      </x:c>
      <x:c r="C18" s="106" t="n">
        <x:f>'WP Summary'!C10</x:f>
        <x:v>0</x:v>
      </x:c>
      <x:c r="D18" s="99" t="n">
        <x:f>'WP Summary'!F10</x:f>
        <x:v>0</x:v>
      </x:c>
      <x:c r="F18" t="str">
        <x:f>'Monthly Summary'!A10</x:f>
        <x:v>Desember 2026</x:v>
      </x:c>
      <x:c r="G18" s="106" t="n">
        <x:f>'Monthly Summary'!B10</x:f>
        <x:v>0</x:v>
      </x:c>
      <x:c r="H18" s="99" t="n">
        <x:f>'Monthly Summary'!E10</x:f>
        <x:v>0</x:v>
      </x:c>
    </x:row>
    <x:row r="19">
      <x:c r="A19" t="str">
        <x:f>'WP Summary'!A11</x:f>
        <x:v>WP6 - Varasjóður / samþykkt þróunarverkefni</x:v>
      </x:c>
      <x:c r="B19" s="99" t="n">
        <x:f>'WP Summary'!B11</x:f>
        <x:v>200000</x:v>
      </x:c>
      <x:c r="C19" s="106" t="n">
        <x:f>'WP Summary'!C11</x:f>
        <x:v>0</x:v>
      </x:c>
      <x:c r="D19" s="99" t="n">
        <x:f>'WP Summary'!F11</x:f>
        <x:v>0</x:v>
      </x:c>
    </x:row>
  </x:sheetData>
  <x:mergeCells>
    <x:mergeCell ref="A2:H2"/>
    <x:mergeCell ref="F11:H11"/>
    <x:mergeCell ref="A11:H11"/>
    <x:mergeCell ref="A1:H1"/>
  </x:mergeCells>
  <x:conditionalFormatting sqref="E6:E7">
    <x:cfRule type="cellIs" dxfId="5" priority="1" operator="greaterThan">
      <x:formula>0</x:formula>
    </x:cfRule>
  </x:conditionalFormatting>
  <x:conditionalFormatting sqref="E8:E8">
    <x:cfRule type="cellIs" dxfId="6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93a9d833eba842c5"/>
</x:worksheet>
</file>